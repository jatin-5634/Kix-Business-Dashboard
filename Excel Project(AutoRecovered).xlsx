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webextensions/webextension1.xml" ContentType="application/vnd.ms-office.webextens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xl/webextensions/taskpanes.xml" ContentType="application/vnd.ms-office.webextensiontaskpanes+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9CBBDAB6-8AD7-47DB-BC7E-113DA1B4AE58}" xr6:coauthVersionLast="47" xr6:coauthVersionMax="47" xr10:uidLastSave="{00000000-0000-0000-0000-000000000000}"/>
  <bookViews>
    <workbookView xWindow="-108" yWindow="-108" windowWidth="23256" windowHeight="12456" xr2:uid="{7480648D-0DF6-4D63-8BA0-9CAA162E7074}"/>
  </bookViews>
  <sheets>
    <sheet name="Kix Business Dashboard" sheetId="7" r:id="rId1"/>
    <sheet name="Sales analysis Dashboard" sheetId="1" r:id="rId2"/>
    <sheet name=" Analysis 2 " sheetId="6" r:id="rId3"/>
    <sheet name="analysis 1" sheetId="3" r:id="rId4"/>
    <sheet name="Sheet3" sheetId="10" r:id="rId5"/>
    <sheet name="waffle chart" sheetId="9" r:id="rId6"/>
  </sheets>
  <definedNames>
    <definedName name="Data">' Analysis 2 '!$P$6</definedName>
    <definedName name="Large_1">' Analysis 2 '!$K$20</definedName>
    <definedName name="Large_2">' Analysis 2 '!$K$21</definedName>
    <definedName name="Slicer_Month_Name">#N/A</definedName>
    <definedName name="Slicer_Store_Name">#N/A</definedName>
  </definedNames>
  <calcPr calcId="191029"/>
  <pivotCaches>
    <pivotCache cacheId="256" r:id="rId7"/>
    <pivotCache cacheId="276" r:id="rId8"/>
    <pivotCache cacheId="432" r:id="rId9"/>
    <pivotCache cacheId="435" r:id="rId10"/>
    <pivotCache cacheId="438" r:id="rId11"/>
    <pivotCache cacheId="540" r:id="rId12"/>
    <pivotCache cacheId="543" r:id="rId13"/>
    <pivotCache cacheId="546" r:id="rId14"/>
  </pivotCaches>
  <extLst>
    <ext xmlns:x14="http://schemas.microsoft.com/office/spreadsheetml/2009/9/main" uri="{876F7934-8845-4945-9796-88D515C7AA90}">
      <x14:pivotCaches>
        <pivotCache cacheId="6" r:id="rId15"/>
        <pivotCache cacheId="7"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table_6ec798b8-6414-4e21-a7fa-d0c21f854624" name="fact_table" connection="Query - fact_table"/>
          <x15:modelTable id="monthly_store_targets_1ed06f68-223c-4112-8029-1eadbca34f96" name="monthly_store_targets" connection="Query - monthly_store_targets"/>
          <x15:modelTable id="products_table_174ffc78-7346-4f9d-bb98-330c05c6e034" name="products_table" connection="Query - products_table"/>
          <x15:modelTable id="sales_persons_table_f11e525e-b82b-4216-bfbc-ba513fde5111" name="sales_persons_table" connection="Query - sales_persons_table"/>
          <x15:modelTable id="Dim_customers_b8400e98-3ccc-42c6-827a-8134e5c5b0ac" name="Dim_customers" connection="Query - Dim_customers"/>
          <x15:modelTable id="Date_cca170d6-7521-4b97-a56c-88cbcba50f1b" name="Date" connection="Query - Date"/>
          <x15:modelTable id="Calculations_fd3069c1-02a1-4313-91fa-e951d3fdbb2c" name="Calculations" connection="Query - Calculations"/>
        </x15:modelTables>
        <x15:modelRelationships>
          <x15:modelRelationship fromTable="fact_table" fromColumn="Customer ID" toTable="Dim_customers" toColumn="Customer ID"/>
          <x15:modelRelationship fromTable="fact_table" fromColumn="Sales Person ID" toTable="sales_persons_table" toColumn="Sales Person ID"/>
          <x15:modelRelationship fromTable="fact_table" fromColumn="Product ID" toTable="products_table" toColumn="Product ID"/>
          <x15:modelRelationship fromTable="fact_table" fromColumn="Order Date" toTable="Date" toColumn="Order Date"/>
          <x15:modelRelationship fromTable="monthly_store_targets" fromColumn="Dates" toTable="Date" toColumn="Order Date"/>
          <x15:modelRelationship fromTable="monthly_store_targets" fromColumn="Store ID" toTable="sales_persons_table" toColumn="Sales Person ID"/>
        </x15:modelRelationships>
      </x15:dataModel>
    </ext>
  </extLst>
</workbook>
</file>

<file path=xl/calcChain.xml><?xml version="1.0" encoding="utf-8"?>
<calcChain xmlns="http://schemas.openxmlformats.org/spreadsheetml/2006/main">
  <c r="F38" i="9" l="1"/>
  <c r="E37" i="9"/>
  <c r="E36" i="9"/>
  <c r="E35" i="9" s="1"/>
  <c r="E34" i="9" s="1"/>
  <c r="E33" i="9" s="1"/>
  <c r="E32" i="9" s="1"/>
  <c r="E31" i="9" s="1"/>
  <c r="E30" i="9" s="1"/>
  <c r="E29" i="9" s="1"/>
  <c r="F25" i="9"/>
  <c r="F27" i="9"/>
  <c r="E26" i="9"/>
  <c r="E25" i="9"/>
  <c r="E24" i="9" s="1"/>
  <c r="E23" i="9" s="1"/>
  <c r="E22" i="9" s="1"/>
  <c r="E21" i="9" s="1"/>
  <c r="E20" i="9" s="1"/>
  <c r="E19" i="9" s="1"/>
  <c r="E18" i="9" s="1"/>
  <c r="D3" i="9"/>
  <c r="D4" i="9"/>
  <c r="S9" i="6"/>
  <c r="R7" i="6" s="1"/>
  <c r="R9" i="6"/>
  <c r="R11" i="6"/>
  <c r="F7" i="6"/>
  <c r="K7" i="6" s="1"/>
  <c r="G7" i="6"/>
  <c r="H7" i="6"/>
  <c r="F8" i="6"/>
  <c r="K8" i="6" s="1"/>
  <c r="G8" i="6"/>
  <c r="H8" i="6"/>
  <c r="F9" i="6"/>
  <c r="K9" i="6" s="1"/>
  <c r="G9" i="6"/>
  <c r="H9" i="6"/>
  <c r="F10" i="6"/>
  <c r="K10" i="6" s="1"/>
  <c r="G10" i="6"/>
  <c r="H10" i="6"/>
  <c r="F11" i="6"/>
  <c r="K11" i="6" s="1"/>
  <c r="G11" i="6"/>
  <c r="H11" i="6"/>
  <c r="F12" i="6"/>
  <c r="K12" i="6" s="1"/>
  <c r="G12" i="6"/>
  <c r="H12" i="6"/>
  <c r="F13" i="6"/>
  <c r="K13" i="6" s="1"/>
  <c r="G13" i="6"/>
  <c r="H13" i="6"/>
  <c r="F14" i="6"/>
  <c r="K14" i="6" s="1"/>
  <c r="G14" i="6"/>
  <c r="H14" i="6"/>
  <c r="F15" i="6"/>
  <c r="K15" i="6" s="1"/>
  <c r="G15" i="6"/>
  <c r="H15" i="6"/>
  <c r="F16" i="6"/>
  <c r="K16" i="6" s="1"/>
  <c r="G16" i="6"/>
  <c r="H16" i="6"/>
  <c r="F17" i="6"/>
  <c r="K17" i="6" s="1"/>
  <c r="G17" i="6"/>
  <c r="H17" i="6"/>
  <c r="F18" i="6"/>
  <c r="K18" i="6" s="1"/>
  <c r="G18" i="6"/>
  <c r="H18" i="6"/>
  <c r="G6" i="6"/>
  <c r="H6" i="6"/>
  <c r="F6" i="6"/>
  <c r="K6" i="6" s="1"/>
  <c r="F16" i="3"/>
  <c r="E16" i="3"/>
  <c r="E10" i="3"/>
  <c r="D10" i="3"/>
  <c r="F10" i="3" s="1"/>
  <c r="G38" i="9" l="1"/>
  <c r="F37" i="9"/>
  <c r="F36" i="9" s="1"/>
  <c r="F35" i="9" s="1"/>
  <c r="F34" i="9" s="1"/>
  <c r="F33" i="9" s="1"/>
  <c r="F32" i="9" s="1"/>
  <c r="F31" i="9" s="1"/>
  <c r="F30" i="9" s="1"/>
  <c r="F29" i="9" s="1"/>
  <c r="G27" i="9"/>
  <c r="F26" i="9"/>
  <c r="F24" i="9" s="1"/>
  <c r="F23" i="9" s="1"/>
  <c r="F22" i="9" s="1"/>
  <c r="F21" i="9" s="1"/>
  <c r="F20" i="9" s="1"/>
  <c r="F19" i="9" s="1"/>
  <c r="F18" i="9" s="1"/>
  <c r="K20" i="6"/>
  <c r="L7" i="6"/>
  <c r="K21" i="6"/>
  <c r="L8" i="6"/>
  <c r="L9" i="6"/>
  <c r="L10" i="6"/>
  <c r="L11" i="6"/>
  <c r="L12" i="6"/>
  <c r="L13" i="6"/>
  <c r="L14" i="6"/>
  <c r="L15" i="6"/>
  <c r="L16" i="6"/>
  <c r="L17" i="6"/>
  <c r="L18" i="6"/>
  <c r="H16" i="3"/>
  <c r="G16" i="3"/>
  <c r="H38" i="9" l="1"/>
  <c r="G37" i="9"/>
  <c r="G36" i="9" s="1"/>
  <c r="G35" i="9" s="1"/>
  <c r="G34" i="9" s="1"/>
  <c r="G33" i="9" s="1"/>
  <c r="G32" i="9" s="1"/>
  <c r="G31" i="9" s="1"/>
  <c r="G30" i="9" s="1"/>
  <c r="G29" i="9" s="1"/>
  <c r="H27" i="9"/>
  <c r="G26" i="9"/>
  <c r="G25" i="9" s="1"/>
  <c r="G24" i="9" s="1"/>
  <c r="G23" i="9" s="1"/>
  <c r="G22" i="9" s="1"/>
  <c r="G21" i="9" s="1"/>
  <c r="G20" i="9" s="1"/>
  <c r="G19" i="9" s="1"/>
  <c r="G18" i="9" s="1"/>
  <c r="I8" i="6"/>
  <c r="I10" i="6"/>
  <c r="I11" i="6"/>
  <c r="I12" i="6"/>
  <c r="I13" i="6"/>
  <c r="I15" i="6"/>
  <c r="I7" i="6"/>
  <c r="I9" i="6"/>
  <c r="I14" i="6"/>
  <c r="I16" i="6"/>
  <c r="I17" i="6"/>
  <c r="I18" i="6"/>
  <c r="H37" i="9" l="1"/>
  <c r="H36" i="9" s="1"/>
  <c r="H35" i="9" s="1"/>
  <c r="H34" i="9" s="1"/>
  <c r="H33" i="9" s="1"/>
  <c r="H32" i="9" s="1"/>
  <c r="H31" i="9" s="1"/>
  <c r="H30" i="9" s="1"/>
  <c r="H29" i="9" s="1"/>
  <c r="I38" i="9"/>
  <c r="I27" i="9"/>
  <c r="H26" i="9"/>
  <c r="H25" i="9" s="1"/>
  <c r="H24" i="9" s="1"/>
  <c r="H23" i="9" s="1"/>
  <c r="H22" i="9" s="1"/>
  <c r="H21" i="9" s="1"/>
  <c r="H20" i="9" s="1"/>
  <c r="H19" i="9" s="1"/>
  <c r="H18" i="9" s="1"/>
  <c r="J38" i="9" l="1"/>
  <c r="I37" i="9"/>
  <c r="I36" i="9" s="1"/>
  <c r="I35" i="9" s="1"/>
  <c r="I34" i="9" s="1"/>
  <c r="I33" i="9" s="1"/>
  <c r="I32" i="9" s="1"/>
  <c r="I31" i="9" s="1"/>
  <c r="I30" i="9" s="1"/>
  <c r="I29" i="9" s="1"/>
  <c r="J27" i="9"/>
  <c r="I26" i="9"/>
  <c r="I25" i="9" s="1"/>
  <c r="I24" i="9" s="1"/>
  <c r="I23" i="9" s="1"/>
  <c r="I22" i="9" s="1"/>
  <c r="I21" i="9" s="1"/>
  <c r="I20" i="9" s="1"/>
  <c r="I19" i="9" s="1"/>
  <c r="I18" i="9" s="1"/>
  <c r="J37" i="9" l="1"/>
  <c r="J36" i="9" s="1"/>
  <c r="J35" i="9" s="1"/>
  <c r="J34" i="9" s="1"/>
  <c r="J33" i="9" s="1"/>
  <c r="J32" i="9" s="1"/>
  <c r="J31" i="9" s="1"/>
  <c r="J30" i="9" s="1"/>
  <c r="J29" i="9" s="1"/>
  <c r="K38" i="9"/>
  <c r="K27" i="9"/>
  <c r="J26" i="9"/>
  <c r="J25" i="9" s="1"/>
  <c r="J24" i="9" s="1"/>
  <c r="J23" i="9" s="1"/>
  <c r="J22" i="9" s="1"/>
  <c r="J21" i="9" s="1"/>
  <c r="J20" i="9" s="1"/>
  <c r="J19" i="9" s="1"/>
  <c r="J18" i="9" s="1"/>
  <c r="L38" i="9" l="1"/>
  <c r="K37" i="9"/>
  <c r="K36" i="9" s="1"/>
  <c r="K35" i="9" s="1"/>
  <c r="K34" i="9" s="1"/>
  <c r="K33" i="9" s="1"/>
  <c r="K32" i="9" s="1"/>
  <c r="K31" i="9" s="1"/>
  <c r="K30" i="9" s="1"/>
  <c r="K29" i="9" s="1"/>
  <c r="L27" i="9"/>
  <c r="K26" i="9"/>
  <c r="K25" i="9" s="1"/>
  <c r="K24" i="9" s="1"/>
  <c r="K23" i="9" s="1"/>
  <c r="K22" i="9" s="1"/>
  <c r="K21" i="9" s="1"/>
  <c r="K20" i="9" s="1"/>
  <c r="K19" i="9" s="1"/>
  <c r="K18" i="9" s="1"/>
  <c r="M38" i="9" l="1"/>
  <c r="L37" i="9"/>
  <c r="L36" i="9" s="1"/>
  <c r="L35" i="9" s="1"/>
  <c r="L34" i="9" s="1"/>
  <c r="L33" i="9" s="1"/>
  <c r="L32" i="9" s="1"/>
  <c r="L31" i="9" s="1"/>
  <c r="L30" i="9" s="1"/>
  <c r="L29" i="9" s="1"/>
  <c r="L26" i="9"/>
  <c r="L25" i="9" s="1"/>
  <c r="L24" i="9" s="1"/>
  <c r="L23" i="9" s="1"/>
  <c r="L22" i="9" s="1"/>
  <c r="L21" i="9" s="1"/>
  <c r="L20" i="9" s="1"/>
  <c r="L19" i="9" s="1"/>
  <c r="L18" i="9" s="1"/>
  <c r="M27" i="9"/>
  <c r="N38" i="9" l="1"/>
  <c r="N37" i="9" s="1"/>
  <c r="N36" i="9" s="1"/>
  <c r="N35" i="9" s="1"/>
  <c r="N34" i="9" s="1"/>
  <c r="N33" i="9" s="1"/>
  <c r="N32" i="9" s="1"/>
  <c r="N31" i="9" s="1"/>
  <c r="N30" i="9" s="1"/>
  <c r="N29" i="9" s="1"/>
  <c r="M37" i="9"/>
  <c r="M36" i="9" s="1"/>
  <c r="M35" i="9" s="1"/>
  <c r="M34" i="9" s="1"/>
  <c r="M33" i="9" s="1"/>
  <c r="M32" i="9" s="1"/>
  <c r="M31" i="9" s="1"/>
  <c r="M30" i="9" s="1"/>
  <c r="M29" i="9" s="1"/>
  <c r="N27" i="9"/>
  <c r="N26" i="9" s="1"/>
  <c r="N25" i="9" s="1"/>
  <c r="N24" i="9" s="1"/>
  <c r="N23" i="9" s="1"/>
  <c r="N22" i="9" s="1"/>
  <c r="N21" i="9" s="1"/>
  <c r="N20" i="9" s="1"/>
  <c r="N19" i="9" s="1"/>
  <c r="N18" i="9" s="1"/>
  <c r="M26" i="9"/>
  <c r="M25" i="9" s="1"/>
  <c r="M24" i="9" s="1"/>
  <c r="M23" i="9" s="1"/>
  <c r="M22" i="9" s="1"/>
  <c r="M21" i="9" s="1"/>
  <c r="M20" i="9" s="1"/>
  <c r="M19" i="9" s="1"/>
  <c r="M18"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44573E-C98D-4A5C-9C12-2E9543CF55B9}" name="Query - Calculations" description="Connection to the 'Calculations' query in the workbook." type="100" refreshedVersion="8" minRefreshableVersion="5">
    <extLst>
      <ext xmlns:x15="http://schemas.microsoft.com/office/spreadsheetml/2010/11/main" uri="{DE250136-89BD-433C-8126-D09CA5730AF9}">
        <x15:connection id="2b496c51-b4f8-4bc0-ad3c-80868b290265"/>
      </ext>
    </extLst>
  </connection>
  <connection id="2" xr16:uid="{9A37DCE5-685D-4FD5-9807-DA4AB826F289}" name="Query - Date" description="Connection to the 'Date' query in the workbook." type="100" refreshedVersion="8" minRefreshableVersion="5">
    <extLst>
      <ext xmlns:x15="http://schemas.microsoft.com/office/spreadsheetml/2010/11/main" uri="{DE250136-89BD-433C-8126-D09CA5730AF9}">
        <x15:connection id="bd6d8125-ab93-466f-849c-913c6f2ec8ed"/>
      </ext>
    </extLst>
  </connection>
  <connection id="3" xr16:uid="{34309E2B-4F7E-4838-BD09-979781FFF3B7}" name="Query - Dim_customers" description="Connection to the 'Dim_customers' query in the workbook." type="100" refreshedVersion="8" minRefreshableVersion="5">
    <extLst>
      <ext xmlns:x15="http://schemas.microsoft.com/office/spreadsheetml/2010/11/main" uri="{DE250136-89BD-433C-8126-D09CA5730AF9}">
        <x15:connection id="b9811423-b1f0-4821-b882-af73b002b488">
          <x15:oledbPr connection="Provider=Microsoft.Mashup.OleDb.1;Data Source=$Workbook$;Location=Dim_customers;Extended Properties=&quot;&quot;">
            <x15:dbTables>
              <x15:dbTable name="Dim_customers"/>
            </x15:dbTables>
          </x15:oledbPr>
        </x15:connection>
      </ext>
    </extLst>
  </connection>
  <connection id="4" xr16:uid="{FC3BC5E8-7370-4379-BCB2-922D3A6006F0}" name="Query - fact_table" description="Connection to the 'fact_table' query in the workbook." type="100" refreshedVersion="8" minRefreshableVersion="5">
    <extLst>
      <ext xmlns:x15="http://schemas.microsoft.com/office/spreadsheetml/2010/11/main" uri="{DE250136-89BD-433C-8126-D09CA5730AF9}">
        <x15:connection id="6cc7a962-fb07-44db-ad05-89ef34c62f08"/>
      </ext>
    </extLst>
  </connection>
  <connection id="5" xr16:uid="{7036DEFF-4CFB-4ABA-81FB-D6800DE618B6}" name="Query - monthly_store_targets" description="Connection to the 'monthly_store_targets' query in the workbook." type="100" refreshedVersion="8" minRefreshableVersion="5">
    <extLst>
      <ext xmlns:x15="http://schemas.microsoft.com/office/spreadsheetml/2010/11/main" uri="{DE250136-89BD-433C-8126-D09CA5730AF9}">
        <x15:connection id="c9faa74b-25f2-4e8d-bc2f-8dd0846b4fdb">
          <x15:oledbPr connection="Provider=Microsoft.Mashup.OleDb.1;Data Source=$Workbook$;Location=monthly_store_targets;Extended Properties=&quot;&quot;">
            <x15:dbTables>
              <x15:dbTable name="monthly_store_targets"/>
            </x15:dbTables>
          </x15:oledbPr>
        </x15:connection>
      </ext>
    </extLst>
  </connection>
  <connection id="6" xr16:uid="{7A013DCC-9871-4CAA-96CA-E3A1D04B51E3}" name="Query - products_table" description="Connection to the 'products_table' query in the workbook." type="100" refreshedVersion="8" minRefreshableVersion="5">
    <extLst>
      <ext xmlns:x15="http://schemas.microsoft.com/office/spreadsheetml/2010/11/main" uri="{DE250136-89BD-433C-8126-D09CA5730AF9}">
        <x15:connection id="d1ac6ff1-cd56-47d9-8fbf-fed848d07801"/>
      </ext>
    </extLst>
  </connection>
  <connection id="7" xr16:uid="{C640E59E-C2F1-4B82-AE42-1D0EAA02C5AB}" name="Query - sales_persons_table" description="Connection to the 'sales_persons_table' query in the workbook." type="100" refreshedVersion="8" minRefreshableVersion="5">
    <extLst>
      <ext xmlns:x15="http://schemas.microsoft.com/office/spreadsheetml/2010/11/main" uri="{DE250136-89BD-433C-8126-D09CA5730AF9}">
        <x15:connection id="8400f090-891d-450e-9ae4-77986ec99313">
          <x15:oledbPr connection="Provider=Microsoft.Mashup.OleDb.1;Data Source=$Workbook$;Location=sales_persons_table;Extended Properties=&quot;&quot;">
            <x15:dbTables>
              <x15:dbTable name="sales_persons_table"/>
            </x15:dbTables>
          </x15:oledbPr>
        </x15:connection>
      </ext>
    </extLst>
  </connection>
  <connection id="8" xr16:uid="{E75C26CE-C764-4B4B-BCB2-8C0F5EB86E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<sst xmlns="http://schemas.openxmlformats.org/spreadsheetml/2006/main" count="88" uniqueCount="48">
  <si>
    <t>Total Revenue</t>
  </si>
  <si>
    <t>COGS</t>
  </si>
  <si>
    <t>Profit Margin</t>
  </si>
  <si>
    <t>Profit Margin %</t>
  </si>
  <si>
    <t>Transactions</t>
  </si>
  <si>
    <t>Total Refund</t>
  </si>
  <si>
    <t>Refund Rate</t>
  </si>
  <si>
    <t>Products</t>
  </si>
  <si>
    <t>Total Qty Sold</t>
  </si>
  <si>
    <t>Total Qty Returned</t>
  </si>
  <si>
    <t>Total Target</t>
  </si>
  <si>
    <t xml:space="preserve"> </t>
  </si>
  <si>
    <t>Row Labels</t>
  </si>
  <si>
    <t>Barron-Fleming</t>
  </si>
  <si>
    <t>Berg-Trujillo</t>
  </si>
  <si>
    <t>Lee-Myers</t>
  </si>
  <si>
    <t>Lopez</t>
  </si>
  <si>
    <t>Martinez</t>
  </si>
  <si>
    <t>Miller</t>
  </si>
  <si>
    <t>Myers-Lopez</t>
  </si>
  <si>
    <t>Novak PLC</t>
  </si>
  <si>
    <t>Thomas</t>
  </si>
  <si>
    <t>Valdez</t>
  </si>
  <si>
    <t>Grand Total</t>
  </si>
  <si>
    <t>Apr</t>
  </si>
  <si>
    <t>Aug</t>
  </si>
  <si>
    <t>Dec</t>
  </si>
  <si>
    <t>Feb</t>
  </si>
  <si>
    <t>Jan</t>
  </si>
  <si>
    <t>Jul</t>
  </si>
  <si>
    <t>Jun</t>
  </si>
  <si>
    <t>Mar</t>
  </si>
  <si>
    <t>May</t>
  </si>
  <si>
    <t>Nov</t>
  </si>
  <si>
    <t>Oct</t>
  </si>
  <si>
    <t>Sep</t>
  </si>
  <si>
    <t xml:space="preserve">  </t>
  </si>
  <si>
    <t>revenue</t>
  </si>
  <si>
    <t>target</t>
  </si>
  <si>
    <t xml:space="preserve">variance </t>
  </si>
  <si>
    <t>Highlight</t>
  </si>
  <si>
    <t>Large-1</t>
  </si>
  <si>
    <t>Large-2</t>
  </si>
  <si>
    <t>Variance</t>
  </si>
  <si>
    <t>Weekday</t>
  </si>
  <si>
    <t>Weekend</t>
  </si>
  <si>
    <t>Total Revenue2</t>
  </si>
  <si>
    <t>Weelend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</si>
</sst>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00%;\-0.00%;0.00%"/>
    <numFmt numFmtId="166" formatCode="[&gt;=1000000]&quot;$&quot;0.0,,&quot;M&quot;;[&gt;=1000]&quot;$&quot;0.0,&quot;K&quot;;0"/>
    <numFmt numFmtId="167" formatCode="\+0.0%;\-0.0%"/>
    <numFmt numFmtId="168" formatCode=";;"/>
  </numFmts>
  <fonts count="5" x14ac:knownFonts="1">
    <font>
      <sz val="11"/>
      <color theme="1"/>
      <name val="Calibri"/>
      <family val="2"/>
      <scheme val="minor"/>
    </font>
    <font>
      <sz val="12"/>
      <color rgb="FF000000"/>
      <name val="Calibri"/>
      <family val="2"/>
    </font>
    <font>
      <u/>
      <sz val="11"/>
      <color theme="10"/>
      <name val="Calibri"/>
      <family val="2"/>
      <scheme val="minor"/>
    </font>
    <font>
      <b/>
      <sz val="11"/>
      <color rgb="FFFFFFFF"/>
      <name val="Calibri"/>
      <family val="2"/>
      <scheme val="minor"/>
    </font>
    <font>
      <sz val="11"/>
      <color theme="0" tint="-4.9989318521683403E-2"/>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medium">
        <color theme="0" tint="-4.9989318521683403E-2"/>
      </right>
      <top/>
      <bottom style="medium">
        <color theme="0" tint="-4.9989318521683403E-2"/>
      </bottom>
      <diagonal/>
    </border>
    <border>
      <left style="medium">
        <color theme="0" tint="-4.9989318521683403E-2"/>
      </left>
      <right style="medium">
        <color theme="0" tint="-4.9989318521683403E-2"/>
      </right>
      <top/>
      <bottom style="medium">
        <color theme="0" tint="-4.9989318521683403E-2"/>
      </bottom>
      <diagonal/>
    </border>
    <border>
      <left style="medium">
        <color theme="0" tint="-4.9989318521683403E-2"/>
      </left>
      <right/>
      <top/>
      <bottom style="medium">
        <color theme="0" tint="-4.9989318521683403E-2"/>
      </bottom>
      <diagonal/>
    </border>
    <border>
      <left/>
      <right style="medium">
        <color theme="0" tint="-4.9989318521683403E-2"/>
      </right>
      <top style="medium">
        <color theme="0" tint="-4.9989318521683403E-2"/>
      </top>
      <bottom style="medium">
        <color theme="0" tint="-4.9989318521683403E-2"/>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theme="0" tint="-4.9989318521683403E-2"/>
      </left>
      <right/>
      <top style="medium">
        <color theme="0" tint="-4.9989318521683403E-2"/>
      </top>
      <bottom style="medium">
        <color theme="0" tint="-4.9989318521683403E-2"/>
      </bottom>
      <diagonal/>
    </border>
    <border>
      <left/>
      <right style="medium">
        <color theme="0" tint="-4.9989318521683403E-2"/>
      </right>
      <top style="medium">
        <color theme="0" tint="-4.9989318521683403E-2"/>
      </top>
      <bottom/>
      <diagonal/>
    </border>
    <border>
      <left style="medium">
        <color theme="0" tint="-4.9989318521683403E-2"/>
      </left>
      <right style="medium">
        <color theme="0" tint="-4.9989318521683403E-2"/>
      </right>
      <top style="medium">
        <color theme="0" tint="-4.9989318521683403E-2"/>
      </top>
      <bottom/>
      <diagonal/>
    </border>
    <border>
      <left style="medium">
        <color theme="0" tint="-4.9989318521683403E-2"/>
      </left>
      <right/>
      <top style="medium">
        <color theme="0" tint="-4.9989318521683403E-2"/>
      </top>
      <bottom/>
      <diagonal/>
    </border>
    <border>
      <left style="medium">
        <color rgb="FF17365D"/>
      </left>
      <right/>
      <top style="medium">
        <color rgb="FF17365D"/>
      </top>
      <bottom style="medium">
        <color rgb="FF17365D"/>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164" fontId="0" fillId="0" borderId="0" xfId="0" applyNumberFormat="1"/>
    <xf numFmtId="165" fontId="0" fillId="0" borderId="0" xfId="0" applyNumberFormat="1"/>
    <xf numFmtId="3"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applyAlignment="1">
      <alignment horizontal="left" vertical="center" wrapText="1"/>
    </xf>
    <xf numFmtId="166" fontId="0" fillId="0" borderId="0" xfId="0" applyNumberFormat="1"/>
    <xf numFmtId="166" fontId="0" fillId="2" borderId="0" xfId="0" applyNumberFormat="1" applyFill="1"/>
    <xf numFmtId="10" fontId="0" fillId="0" borderId="0" xfId="0" applyNumberFormat="1"/>
    <xf numFmtId="167"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166" fontId="0" fillId="0" borderId="1" xfId="0" applyNumberFormat="1" applyBorder="1"/>
    <xf numFmtId="168" fontId="0" fillId="3" borderId="2" xfId="0" applyNumberFormat="1" applyFill="1" applyBorder="1"/>
    <xf numFmtId="168" fontId="0" fillId="3" borderId="3" xfId="0" applyNumberFormat="1" applyFill="1" applyBorder="1"/>
    <xf numFmtId="168" fontId="0" fillId="3" borderId="4" xfId="0" applyNumberFormat="1" applyFill="1" applyBorder="1"/>
    <xf numFmtId="168" fontId="0" fillId="3" borderId="5" xfId="0" applyNumberFormat="1" applyFill="1" applyBorder="1"/>
    <xf numFmtId="168" fontId="0" fillId="3" borderId="6" xfId="0" applyNumberFormat="1" applyFill="1" applyBorder="1"/>
    <xf numFmtId="168" fontId="0" fillId="3" borderId="7" xfId="0" applyNumberFormat="1" applyFill="1" applyBorder="1"/>
    <xf numFmtId="168" fontId="0" fillId="3" borderId="8" xfId="0" applyNumberFormat="1" applyFill="1" applyBorder="1"/>
    <xf numFmtId="168" fontId="0" fillId="3" borderId="9" xfId="0" applyNumberFormat="1" applyFill="1" applyBorder="1"/>
    <xf numFmtId="168" fontId="0" fillId="3" borderId="10" xfId="0" applyNumberFormat="1" applyFill="1" applyBorder="1"/>
    <xf numFmtId="168" fontId="0" fillId="4" borderId="2" xfId="0" applyNumberFormat="1" applyFill="1" applyBorder="1"/>
    <xf numFmtId="168" fontId="0" fillId="4" borderId="3" xfId="0" applyNumberFormat="1" applyFill="1" applyBorder="1"/>
    <xf numFmtId="168" fontId="0" fillId="4" borderId="4" xfId="0" applyNumberFormat="1" applyFill="1" applyBorder="1"/>
    <xf numFmtId="168" fontId="0" fillId="4" borderId="5" xfId="0" applyNumberFormat="1" applyFill="1" applyBorder="1"/>
    <xf numFmtId="168" fontId="0" fillId="4" borderId="6" xfId="0" applyNumberFormat="1" applyFill="1" applyBorder="1"/>
    <xf numFmtId="168" fontId="0" fillId="4" borderId="7" xfId="0" applyNumberFormat="1" applyFill="1" applyBorder="1"/>
    <xf numFmtId="168" fontId="0" fillId="4" borderId="8" xfId="0" applyNumberFormat="1" applyFill="1" applyBorder="1"/>
    <xf numFmtId="168" fontId="0" fillId="4" borderId="9" xfId="0" applyNumberFormat="1" applyFill="1" applyBorder="1"/>
    <xf numFmtId="168" fontId="0" fillId="4" borderId="10" xfId="0" applyNumberFormat="1" applyFill="1" applyBorder="1"/>
    <xf numFmtId="0" fontId="3" fillId="2" borderId="11" xfId="1" applyFont="1" applyFill="1" applyBorder="1" applyAlignment="1">
      <alignment horizontal="center" vertical="center"/>
    </xf>
    <xf numFmtId="0" fontId="4" fillId="2" borderId="0" xfId="0" applyFont="1" applyFill="1"/>
  </cellXfs>
  <cellStyles count="2">
    <cellStyle name="Hyperlink" xfId="1" builtinId="8"/>
    <cellStyle name="Normal" xfId="0" builtinId="0"/>
  </cellStyles>
  <dxfs count="69">
    <dxf>
      <numFmt numFmtId="166" formatCode="[&gt;=1000000]&quot;$&quot;0.0,,&quot;M&quot;;[&gt;=1000]&quot;$&quot;0.0,&quot;K&quot;;0"/>
    </dxf>
    <dxf>
      <numFmt numFmtId="166" formatCode="[&gt;=1000000]&quot;$&quot;0.0,,&quot;M&quot;;[&gt;=1000]&quot;$&quot;0.0,&quot;K&quot;;0"/>
    </dxf>
    <dxf>
      <numFmt numFmtId="14" formatCode="0.00%"/>
    </dxf>
    <dxf>
      <font>
        <color theme="8" tint="-0.24994659260841701"/>
      </font>
    </dxf>
    <dxf>
      <fill>
        <patternFill>
          <bgColor theme="8" tint="-0.24994659260841701"/>
        </patternFill>
      </fill>
    </dxf>
    <dxf>
      <font>
        <color theme="8" tint="-0.24994659260841701"/>
      </font>
    </dxf>
    <dxf>
      <fill>
        <patternFill>
          <bgColor theme="8" tint="-0.24994659260841701"/>
        </patternFill>
      </fill>
    </dxf>
    <dxf>
      <font>
        <color theme="8" tint="-0.24994659260841701"/>
      </font>
    </dxf>
    <dxf>
      <fill>
        <patternFill>
          <bgColor theme="8" tint="-0.24994659260841701"/>
        </patternFill>
      </fill>
    </dxf>
    <dxf>
      <font>
        <color theme="8" tint="-0.24994659260841701"/>
      </font>
    </dxf>
    <dxf>
      <fill>
        <patternFill>
          <bgColor theme="8" tint="-0.24994659260841701"/>
        </patternFill>
      </fill>
    </dxf>
    <dxf>
      <font>
        <color theme="8" tint="-0.24994659260841701"/>
      </font>
    </dxf>
    <dxf>
      <fill>
        <patternFill>
          <bgColor theme="8" tint="-0.24994659260841701"/>
        </patternFill>
      </fill>
    </dxf>
    <dxf>
      <font>
        <color theme="8" tint="-0.24994659260841701"/>
      </font>
      <fill>
        <patternFill>
          <bgColor theme="0" tint="-0.34998626667073579"/>
        </patternFill>
      </fill>
    </dxf>
    <dxf>
      <fill>
        <patternFill>
          <bgColor theme="0" tint="-0.499984740745262"/>
        </patternFill>
      </fill>
    </dxf>
    <dxf>
      <font>
        <color theme="8" tint="-0.24994659260841701"/>
      </font>
    </dxf>
    <dxf>
      <fill>
        <patternFill>
          <bgColor theme="8" tint="-0.24994659260841701"/>
        </patternFill>
      </fill>
    </dxf>
    <dxf>
      <font>
        <color theme="8" tint="-0.24994659260841701"/>
      </font>
      <fill>
        <patternFill>
          <bgColor theme="0" tint="-0.34998626667073579"/>
        </patternFill>
      </fill>
    </dxf>
    <dxf>
      <fill>
        <patternFill>
          <bgColor theme="0" tint="-0.499984740745262"/>
        </patternFill>
      </fill>
    </dxf>
    <dxf>
      <font>
        <color theme="8" tint="-0.24994659260841701"/>
      </font>
      <fill>
        <patternFill>
          <bgColor theme="0" tint="-0.34998626667073579"/>
        </patternFill>
      </fill>
    </dxf>
    <dxf>
      <fill>
        <patternFill>
          <bgColor theme="0" tint="-0.499984740745262"/>
        </patternFill>
      </fill>
    </dxf>
    <dxf>
      <font>
        <color theme="8" tint="-0.24994659260841701"/>
      </font>
      <fill>
        <patternFill>
          <bgColor theme="0" tint="-0.34998626667073579"/>
        </patternFill>
      </fill>
    </dxf>
    <dxf>
      <fill>
        <patternFill>
          <bgColor theme="0" tint="-0.499984740745262"/>
        </patternFill>
      </fill>
    </dxf>
    <dxf>
      <font>
        <color theme="8" tint="-0.24994659260841701"/>
      </font>
      <fill>
        <patternFill>
          <bgColor theme="0" tint="-0.34998626667073579"/>
        </patternFill>
      </fill>
    </dxf>
    <dxf>
      <fill>
        <patternFill>
          <bgColor theme="0" tint="-0.499984740745262"/>
        </patternFill>
      </fill>
    </dxf>
    <dxf>
      <font>
        <color theme="8" tint="-0.24994659260841701"/>
      </font>
      <fill>
        <patternFill>
          <bgColor theme="0" tint="-0.34998626667073579"/>
        </patternFill>
      </fill>
    </dxf>
    <dxf>
      <fill>
        <patternFill>
          <bgColor theme="0" tint="-0.499984740745262"/>
        </patternFill>
      </fill>
    </dxf>
    <dxf>
      <font>
        <color theme="8" tint="-0.24994659260841701"/>
      </font>
    </dxf>
    <dxf>
      <fill>
        <patternFill>
          <bgColor theme="8" tint="-0.24994659260841701"/>
        </patternFill>
      </fill>
    </dxf>
    <dxf>
      <font>
        <color theme="8" tint="-0.24994659260841701"/>
      </font>
    </dxf>
    <dxf>
      <fill>
        <patternFill>
          <bgColor theme="8" tint="-0.24994659260841701"/>
        </patternFill>
      </fill>
    </dxf>
    <dxf>
      <font>
        <color theme="8" tint="-0.24994659260841701"/>
      </font>
    </dxf>
    <dxf>
      <fill>
        <patternFill>
          <bgColor theme="8" tint="-0.24994659260841701"/>
        </patternFill>
      </fill>
    </dxf>
    <dxf>
      <font>
        <color theme="8" tint="-0.24994659260841701"/>
      </font>
    </dxf>
    <dxf>
      <fill>
        <patternFill>
          <bgColor theme="8" tint="-0.24994659260841701"/>
        </patternFill>
      </fill>
    </dxf>
    <dxf>
      <font>
        <color theme="8" tint="-0.24994659260841701"/>
      </font>
    </dxf>
    <dxf>
      <fill>
        <patternFill>
          <bgColor theme="8" tint="-0.24994659260841701"/>
        </patternFill>
      </fill>
    </dxf>
    <dxf>
      <font>
        <color rgb="FFFF0000"/>
      </font>
    </dxf>
    <dxf>
      <font>
        <color rgb="FFFF0000"/>
      </font>
    </dxf>
    <dxf>
      <font>
        <color rgb="FF92D050"/>
      </font>
    </dxf>
    <dxf>
      <font>
        <color rgb="FF92D050"/>
      </font>
    </dxf>
    <dxf>
      <font>
        <color rgb="FFFF0000"/>
      </font>
    </dxf>
    <dxf>
      <font>
        <color rgb="FFFF0000"/>
      </font>
    </dxf>
    <dxf>
      <font>
        <color rgb="FF92D050"/>
      </font>
    </dxf>
    <dxf>
      <font>
        <color rgb="FF92D050"/>
      </font>
    </dxf>
    <dxf>
      <numFmt numFmtId="166" formatCode="[&gt;=1000000]&quot;$&quot;0.0,,&quot;M&quot;;[&gt;=1000]&quot;$&quot;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gt;=1000000]&quot;$&quot;0.0,,&quot;M&quot;;[&gt;=1000]&quot;$&quot;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font>
        <b/>
        <color theme="1"/>
      </font>
      <fill>
        <patternFill>
          <bgColor theme="0"/>
        </patternFill>
      </fill>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fill>
        <patternFill>
          <bgColor theme="0"/>
        </patternFill>
      </fill>
      <border>
        <bottom style="thin">
          <color theme="4"/>
        </bottom>
        <vertical/>
        <horizontal/>
      </border>
    </dxf>
    <dxf>
      <font>
        <color theme="1"/>
      </font>
      <fill>
        <patternFill>
          <bgColor theme="0"/>
        </patternFill>
      </fill>
      <border diagonalUp="0" diagonalDown="0">
        <left/>
        <right/>
        <top/>
        <bottom/>
        <vertical/>
        <horizontal/>
      </border>
    </dxf>
  </dxfs>
  <tableStyles count="3" defaultTableStyle="TableStyleMedium2" defaultPivotStyle="PivotStyleLight16">
    <tableStyle name="SlicerStyleLight1 2" pivot="0" table="0" count="10" xr9:uid="{16DD416B-752E-46B7-9351-5E0067C19674}">
      <tableStyleElement type="wholeTable" dxfId="68"/>
      <tableStyleElement type="headerRow" dxfId="67"/>
    </tableStyle>
    <tableStyle name="SlicerStyleLight1 2 2" pivot="0" table="0" count="10" xr9:uid="{90EA801C-6757-4BDC-9B1A-12F5548CF2B0}">
      <tableStyleElement type="wholeTable" dxfId="66"/>
      <tableStyleElement type="headerRow" dxfId="65"/>
    </tableStyle>
    <tableStyle name="SlicerStyleLight1 2 3" pivot="0" table="0" count="10" xr9:uid="{2BE2A08E-69EC-48A5-8C9E-9F007829CDE8}">
      <tableStyleElement type="wholeTable" dxfId="64"/>
      <tableStyleElement type="headerRow" dxfId="63"/>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name val="Calibri Light"/>
            <family val="2"/>
            <scheme val="major"/>
          </font>
          <fill>
            <patternFill patternType="solid">
              <fgColor rgb="FFFFFFFF"/>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011802415482903E-2"/>
          <c:y val="0.11627213630504113"/>
          <c:w val="0.90274509566242456"/>
          <c:h val="0.66341332486331417"/>
        </c:manualLayout>
      </c:layout>
      <c:lineChart>
        <c:grouping val="standard"/>
        <c:varyColors val="0"/>
        <c:ser>
          <c:idx val="0"/>
          <c:order val="0"/>
          <c:tx>
            <c:strRef>
              <c:f>' Analysis 2 '!$G$6</c:f>
              <c:strCache>
                <c:ptCount val="1"/>
                <c:pt idx="0">
                  <c:v>Total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0-A0E9-43CD-BD2C-E303EBEBDA6C}"/>
                </c:ext>
              </c:extLst>
            </c:dLbl>
            <c:dLbl>
              <c:idx val="1"/>
              <c:delete val="1"/>
              <c:extLst>
                <c:ext xmlns:c15="http://schemas.microsoft.com/office/drawing/2012/chart" uri="{CE6537A1-D6FC-4f65-9D91-7224C49458BB}"/>
                <c:ext xmlns:c16="http://schemas.microsoft.com/office/drawing/2014/chart" uri="{C3380CC4-5D6E-409C-BE32-E72D297353CC}">
                  <c16:uniqueId val="{00000001-A0E9-43CD-BD2C-E303EBEBDA6C}"/>
                </c:ext>
              </c:extLst>
            </c:dLbl>
            <c:dLbl>
              <c:idx val="2"/>
              <c:delete val="1"/>
              <c:extLst>
                <c:ext xmlns:c15="http://schemas.microsoft.com/office/drawing/2012/chart" uri="{CE6537A1-D6FC-4f65-9D91-7224C49458BB}"/>
                <c:ext xmlns:c16="http://schemas.microsoft.com/office/drawing/2014/chart" uri="{C3380CC4-5D6E-409C-BE32-E72D297353CC}">
                  <c16:uniqueId val="{00000002-A0E9-43CD-BD2C-E303EBEBDA6C}"/>
                </c:ext>
              </c:extLst>
            </c:dLbl>
            <c:dLbl>
              <c:idx val="3"/>
              <c:delete val="1"/>
              <c:extLst>
                <c:ext xmlns:c15="http://schemas.microsoft.com/office/drawing/2012/chart" uri="{CE6537A1-D6FC-4f65-9D91-7224C49458BB}"/>
                <c:ext xmlns:c16="http://schemas.microsoft.com/office/drawing/2014/chart" uri="{C3380CC4-5D6E-409C-BE32-E72D297353CC}">
                  <c16:uniqueId val="{00000003-A0E9-43CD-BD2C-E303EBEBDA6C}"/>
                </c:ext>
              </c:extLst>
            </c:dLbl>
            <c:dLbl>
              <c:idx val="4"/>
              <c:tx>
                <c:rich>
                  <a:bodyPr/>
                  <a:lstStyle/>
                  <a:p>
                    <a:fld id="{3AFDE65B-AF95-4CB5-B18C-9B30FB6FBD5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0E9-43CD-BD2C-E303EBEBDA6C}"/>
                </c:ext>
              </c:extLst>
            </c:dLbl>
            <c:dLbl>
              <c:idx val="5"/>
              <c:delete val="1"/>
              <c:extLst>
                <c:ext xmlns:c15="http://schemas.microsoft.com/office/drawing/2012/chart" uri="{CE6537A1-D6FC-4f65-9D91-7224C49458BB}"/>
                <c:ext xmlns:c16="http://schemas.microsoft.com/office/drawing/2014/chart" uri="{C3380CC4-5D6E-409C-BE32-E72D297353CC}">
                  <c16:uniqueId val="{00000005-A0E9-43CD-BD2C-E303EBEBDA6C}"/>
                </c:ext>
              </c:extLst>
            </c:dLbl>
            <c:dLbl>
              <c:idx val="6"/>
              <c:delete val="1"/>
              <c:extLst>
                <c:ext xmlns:c15="http://schemas.microsoft.com/office/drawing/2012/chart" uri="{CE6537A1-D6FC-4f65-9D91-7224C49458BB}"/>
                <c:ext xmlns:c16="http://schemas.microsoft.com/office/drawing/2014/chart" uri="{C3380CC4-5D6E-409C-BE32-E72D297353CC}">
                  <c16:uniqueId val="{00000006-A0E9-43CD-BD2C-E303EBEBDA6C}"/>
                </c:ext>
              </c:extLst>
            </c:dLbl>
            <c:dLbl>
              <c:idx val="7"/>
              <c:tx>
                <c:rich>
                  <a:bodyPr/>
                  <a:lstStyle/>
                  <a:p>
                    <a:fld id="{03E6F3EA-CD6C-4AF1-810E-F3B93E4F22F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0E9-43CD-BD2C-E303EBEBDA6C}"/>
                </c:ext>
              </c:extLst>
            </c:dLbl>
            <c:dLbl>
              <c:idx val="8"/>
              <c:delete val="1"/>
              <c:extLst>
                <c:ext xmlns:c15="http://schemas.microsoft.com/office/drawing/2012/chart" uri="{CE6537A1-D6FC-4f65-9D91-7224C49458BB}"/>
                <c:ext xmlns:c16="http://schemas.microsoft.com/office/drawing/2014/chart" uri="{C3380CC4-5D6E-409C-BE32-E72D297353CC}">
                  <c16:uniqueId val="{00000008-A0E9-43CD-BD2C-E303EBEBDA6C}"/>
                </c:ext>
              </c:extLst>
            </c:dLbl>
            <c:dLbl>
              <c:idx val="9"/>
              <c:delete val="1"/>
              <c:extLst>
                <c:ext xmlns:c15="http://schemas.microsoft.com/office/drawing/2012/chart" uri="{CE6537A1-D6FC-4f65-9D91-7224C49458BB}"/>
                <c:ext xmlns:c16="http://schemas.microsoft.com/office/drawing/2014/chart" uri="{C3380CC4-5D6E-409C-BE32-E72D297353CC}">
                  <c16:uniqueId val="{00000009-A0E9-43CD-BD2C-E303EBEBDA6C}"/>
                </c:ext>
              </c:extLst>
            </c:dLbl>
            <c:dLbl>
              <c:idx val="10"/>
              <c:delete val="1"/>
              <c:extLst>
                <c:ext xmlns:c15="http://schemas.microsoft.com/office/drawing/2012/chart" uri="{CE6537A1-D6FC-4f65-9D91-7224C49458BB}"/>
                <c:ext xmlns:c16="http://schemas.microsoft.com/office/drawing/2014/chart" uri="{C3380CC4-5D6E-409C-BE32-E72D297353CC}">
                  <c16:uniqueId val="{0000000A-A0E9-43CD-BD2C-E303EBEBDA6C}"/>
                </c:ext>
              </c:extLst>
            </c:dLbl>
            <c:dLbl>
              <c:idx val="11"/>
              <c:delete val="1"/>
              <c:extLst>
                <c:ext xmlns:c15="http://schemas.microsoft.com/office/drawing/2012/chart" uri="{CE6537A1-D6FC-4f65-9D91-7224C49458BB}"/>
                <c:ext xmlns:c16="http://schemas.microsoft.com/office/drawing/2014/chart" uri="{C3380CC4-5D6E-409C-BE32-E72D297353CC}">
                  <c16:uniqueId val="{0000000B-A0E9-43CD-BD2C-E303EBEBDA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 Analysis 2 '!$F$7:$F$18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 2 '!$G$7:$G$18</c:f>
              <c:numCache>
                <c:formatCode>[&gt;=1000000]"$"0.0,,"M";[&gt;=1000]"$"0.0,"K";0</c:formatCode>
                <c:ptCount val="12"/>
                <c:pt idx="0">
                  <c:v>40299.57999999998</c:v>
                </c:pt>
                <c:pt idx="1">
                  <c:v>44995.01</c:v>
                </c:pt>
                <c:pt idx="2">
                  <c:v>42429.639999999992</c:v>
                </c:pt>
                <c:pt idx="3">
                  <c:v>44533.37000000001</c:v>
                </c:pt>
                <c:pt idx="4">
                  <c:v>47986.959999999985</c:v>
                </c:pt>
                <c:pt idx="5">
                  <c:v>47623.309999999983</c:v>
                </c:pt>
                <c:pt idx="6">
                  <c:v>37578.869999999988</c:v>
                </c:pt>
                <c:pt idx="7">
                  <c:v>47345.999999999993</c:v>
                </c:pt>
                <c:pt idx="8">
                  <c:v>37484.260000000009</c:v>
                </c:pt>
                <c:pt idx="9">
                  <c:v>47193.959999999992</c:v>
                </c:pt>
                <c:pt idx="10">
                  <c:v>50601.920000000013</c:v>
                </c:pt>
                <c:pt idx="11">
                  <c:v>38114.119999999966</c:v>
                </c:pt>
              </c:numCache>
            </c:numRef>
          </c:val>
          <c:smooth val="1"/>
          <c:extLst>
            <c:ext xmlns:c15="http://schemas.microsoft.com/office/drawing/2012/chart" uri="{02D57815-91ED-43cb-92C2-25804820EDAC}">
              <c15:datalabelsRange>
                <c15:f>' Analysis 2 '!$I$7:$I$18</c15:f>
                <c15:dlblRangeCache>
                  <c:ptCount val="12"/>
                  <c:pt idx="4">
                    <c:v>$48.0K</c:v>
                  </c:pt>
                  <c:pt idx="10">
                    <c:v>$50.6K</c:v>
                  </c:pt>
                </c15:dlblRangeCache>
              </c15:datalabelsRange>
            </c:ext>
            <c:ext xmlns:c16="http://schemas.microsoft.com/office/drawing/2014/chart" uri="{C3380CC4-5D6E-409C-BE32-E72D297353CC}">
              <c16:uniqueId val="{0000000C-A0E9-43CD-BD2C-E303EBEBDA6C}"/>
            </c:ext>
          </c:extLst>
        </c:ser>
        <c:ser>
          <c:idx val="1"/>
          <c:order val="1"/>
          <c:tx>
            <c:strRef>
              <c:f>' Analysis 2 '!$H$6</c:f>
              <c:strCache>
                <c:ptCount val="1"/>
                <c:pt idx="0">
                  <c:v>Total Target</c:v>
                </c:pt>
              </c:strCache>
            </c:strRef>
          </c:tx>
          <c:spPr>
            <a:ln w="34925" cap="rnd">
              <a:solidFill>
                <a:schemeClr val="tx2">
                  <a:lumMod val="20000"/>
                  <a:lumOff val="80000"/>
                </a:schemeClr>
              </a:solidFill>
              <a:round/>
            </a:ln>
            <a:effectLst>
              <a:outerShdw blurRad="57150" dist="19050" dir="5400000" algn="ctr" rotWithShape="0">
                <a:srgbClr val="000000">
                  <a:alpha val="63000"/>
                </a:srgbClr>
              </a:outerShdw>
            </a:effectLst>
          </c:spPr>
          <c:marker>
            <c:symbol val="none"/>
          </c:marker>
          <c:cat>
            <c:strRef>
              <c:f>' Analysis 2 '!$F$7:$F$18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 2 '!$H$7:$H$18</c:f>
              <c:numCache>
                <c:formatCode>[&gt;=1000000]"$"0.0,,"M";[&gt;=1000]"$"0.0,"K";0</c:formatCode>
                <c:ptCount val="12"/>
                <c:pt idx="0">
                  <c:v>58884</c:v>
                </c:pt>
                <c:pt idx="1">
                  <c:v>48921</c:v>
                </c:pt>
                <c:pt idx="2">
                  <c:v>40240</c:v>
                </c:pt>
                <c:pt idx="3">
                  <c:v>51463</c:v>
                </c:pt>
                <c:pt idx="4">
                  <c:v>42829</c:v>
                </c:pt>
                <c:pt idx="5">
                  <c:v>41880</c:v>
                </c:pt>
                <c:pt idx="6">
                  <c:v>57096</c:v>
                </c:pt>
                <c:pt idx="7">
                  <c:v>49810</c:v>
                </c:pt>
                <c:pt idx="8">
                  <c:v>48154</c:v>
                </c:pt>
                <c:pt idx="9">
                  <c:v>58298</c:v>
                </c:pt>
                <c:pt idx="10">
                  <c:v>52960</c:v>
                </c:pt>
                <c:pt idx="11">
                  <c:v>49975</c:v>
                </c:pt>
              </c:numCache>
            </c:numRef>
          </c:val>
          <c:smooth val="1"/>
          <c:extLst>
            <c:ext xmlns:c16="http://schemas.microsoft.com/office/drawing/2014/chart" uri="{C3380CC4-5D6E-409C-BE32-E72D297353CC}">
              <c16:uniqueId val="{0000000D-A0E9-43CD-BD2C-E303EBEBDA6C}"/>
            </c:ext>
          </c:extLst>
        </c:ser>
        <c:dLbls>
          <c:showLegendKey val="0"/>
          <c:showVal val="0"/>
          <c:showCatName val="0"/>
          <c:showSerName val="0"/>
          <c:showPercent val="0"/>
          <c:showBubbleSize val="0"/>
        </c:dLbls>
        <c:marker val="1"/>
        <c:smooth val="0"/>
        <c:axId val="1433052815"/>
        <c:axId val="594226799"/>
      </c:lineChart>
      <c:catAx>
        <c:axId val="1433052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26799"/>
        <c:crosses val="autoZero"/>
        <c:auto val="1"/>
        <c:lblAlgn val="ctr"/>
        <c:lblOffset val="100"/>
        <c:noMultiLvlLbl val="0"/>
      </c:catAx>
      <c:valAx>
        <c:axId val="594226799"/>
        <c:scaling>
          <c:orientation val="minMax"/>
        </c:scaling>
        <c:delete val="0"/>
        <c:axPos val="l"/>
        <c:numFmt formatCode="[&gt;=1000000]&quot;$&quot;0.0,,&quot;M&quot;;[&gt;=1000]&quot;$&quot;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052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532771542151323E-4"/>
          <c:y val="0.13158424710928654"/>
          <c:w val="0.96277455596933448"/>
          <c:h val="0.86399008500376295"/>
        </c:manualLayout>
      </c:layout>
      <c:barChart>
        <c:barDir val="col"/>
        <c:grouping val="clustered"/>
        <c:varyColors val="0"/>
        <c:ser>
          <c:idx val="0"/>
          <c:order val="0"/>
          <c:tx>
            <c:strRef>
              <c:f>' Analysis 2 '!$L$6</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Analysis 2 '!$K$7:$K$18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 2 '!$L$7:$L$18</c:f>
              <c:numCache>
                <c:formatCode>\+0.0%;\-0.0%</c:formatCode>
                <c:ptCount val="12"/>
                <c:pt idx="0">
                  <c:v>-0.31561069220841009</c:v>
                </c:pt>
                <c:pt idx="1">
                  <c:v>-8.0251630179268577E-2</c:v>
                </c:pt>
                <c:pt idx="2">
                  <c:v>5.4414512922465012E-2</c:v>
                </c:pt>
                <c:pt idx="3">
                  <c:v>-0.13465266307832793</c:v>
                </c:pt>
                <c:pt idx="4">
                  <c:v>0.12043148334072672</c:v>
                </c:pt>
                <c:pt idx="5">
                  <c:v>0.13713729703915911</c:v>
                </c:pt>
                <c:pt idx="6">
                  <c:v>-0.3418300756620431</c:v>
                </c:pt>
                <c:pt idx="7">
                  <c:v>-4.9467978317607054E-2</c:v>
                </c:pt>
                <c:pt idx="8">
                  <c:v>-0.22157536237903375</c:v>
                </c:pt>
                <c:pt idx="9">
                  <c:v>-0.1904703420357475</c:v>
                </c:pt>
                <c:pt idx="10">
                  <c:v>-4.4525679758307915E-2</c:v>
                </c:pt>
                <c:pt idx="11">
                  <c:v>-0.23733626813406772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8427-4A41-84E8-C0E4582ED211}"/>
            </c:ext>
          </c:extLst>
        </c:ser>
        <c:dLbls>
          <c:dLblPos val="outEnd"/>
          <c:showLegendKey val="0"/>
          <c:showVal val="1"/>
          <c:showCatName val="0"/>
          <c:showSerName val="0"/>
          <c:showPercent val="0"/>
          <c:showBubbleSize val="0"/>
        </c:dLbls>
        <c:gapWidth val="65"/>
        <c:overlap val="-27"/>
        <c:axId val="1432487567"/>
        <c:axId val="594259439"/>
      </c:barChart>
      <c:catAx>
        <c:axId val="1432487567"/>
        <c:scaling>
          <c:orientation val="minMax"/>
        </c:scaling>
        <c:delete val="1"/>
        <c:axPos val="b"/>
        <c:numFmt formatCode="General" sourceLinked="1"/>
        <c:majorTickMark val="none"/>
        <c:minorTickMark val="none"/>
        <c:tickLblPos val="nextTo"/>
        <c:crossAx val="594259439"/>
        <c:crosses val="autoZero"/>
        <c:auto val="1"/>
        <c:lblAlgn val="ctr"/>
        <c:lblOffset val="100"/>
        <c:noMultiLvlLbl val="0"/>
      </c:catAx>
      <c:valAx>
        <c:axId val="594259439"/>
        <c:scaling>
          <c:orientation val="minMax"/>
        </c:scaling>
        <c:delete val="1"/>
        <c:axPos val="l"/>
        <c:numFmt formatCode="\+0.0%;\-0.0%" sourceLinked="1"/>
        <c:majorTickMark val="none"/>
        <c:minorTickMark val="none"/>
        <c:tickLblPos val="nextTo"/>
        <c:crossAx val="143248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 Analysis 2 !PivotTable1</c:name>
    <c:fmtId val="66"/>
  </c:pivotSource>
  <c:chart>
    <c:autoTitleDeleted val="1"/>
    <c:pivotFmts>
      <c:pivotFmt>
        <c:idx val="0"/>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accent3">
                <a:lumMod val="20000"/>
                <a:lumOff val="80000"/>
              </a:schemeClr>
            </a:solidFill>
          </a:ln>
          <a:effectLst/>
        </c:spPr>
        <c:dLbl>
          <c:idx val="0"/>
          <c:layout>
            <c:manualLayout>
              <c:x val="0.15277777777777779"/>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accent3">
                <a:lumMod val="20000"/>
                <a:lumOff val="80000"/>
              </a:schemeClr>
            </a:solidFill>
          </a:ln>
          <a:effectLst/>
        </c:spPr>
        <c:dLbl>
          <c:idx val="0"/>
          <c:layout>
            <c:manualLayout>
              <c:x val="0.15277777777777779"/>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accent3">
                <a:lumMod val="20000"/>
                <a:lumOff val="8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layout>
            <c:manualLayout>
              <c:x val="-0.18888888888888891"/>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solidFill>
              <a:schemeClr val="accent3">
                <a:lumMod val="20000"/>
                <a:lumOff val="8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layout>
            <c:manualLayout>
              <c:x val="-0.18888888888888891"/>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w="19050">
            <a:solidFill>
              <a:schemeClr val="accent3">
                <a:lumMod val="20000"/>
                <a:lumOff val="8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layout>
            <c:manualLayout>
              <c:x val="-0.18888888888888891"/>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64873140857395"/>
          <c:y val="0.1668671624380286"/>
          <c:w val="0.41581364829396328"/>
          <c:h val="0.69302274715660539"/>
        </c:manualLayout>
      </c:layout>
      <c:doughnutChart>
        <c:varyColors val="1"/>
        <c:ser>
          <c:idx val="0"/>
          <c:order val="0"/>
          <c:tx>
            <c:strRef>
              <c:f>' Analysis 2 '!$U$6</c:f>
              <c:strCache>
                <c:ptCount val="1"/>
                <c:pt idx="0">
                  <c:v>Total</c:v>
                </c:pt>
              </c:strCache>
            </c:strRef>
          </c:tx>
          <c:spPr>
            <a:solidFill>
              <a:schemeClr val="accent5">
                <a:lumMod val="20000"/>
                <a:lumOff val="80000"/>
              </a:schemeClr>
            </a:solidFill>
            <a:ln>
              <a:solidFill>
                <a:schemeClr val="accent3">
                  <a:lumMod val="20000"/>
                  <a:lumOff val="80000"/>
                </a:schemeClr>
              </a:solidFill>
            </a:ln>
          </c:spPr>
          <c:explosion val="46"/>
          <c:dPt>
            <c:idx val="0"/>
            <c:bubble3D val="0"/>
            <c:spPr>
              <a:solidFill>
                <a:schemeClr val="accent5">
                  <a:lumMod val="60000"/>
                  <a:lumOff val="40000"/>
                </a:schemeClr>
              </a:solidFill>
              <a:ln w="19050">
                <a:solidFill>
                  <a:schemeClr val="accent3">
                    <a:lumMod val="20000"/>
                    <a:lumOff val="80000"/>
                  </a:schemeClr>
                </a:solidFill>
              </a:ln>
              <a:effectLst/>
            </c:spPr>
            <c:extLst>
              <c:ext xmlns:c16="http://schemas.microsoft.com/office/drawing/2014/chart" uri="{C3380CC4-5D6E-409C-BE32-E72D297353CC}">
                <c16:uniqueId val="{00000001-D336-49F0-94CD-3BA2E7BDB1EC}"/>
              </c:ext>
            </c:extLst>
          </c:dPt>
          <c:dPt>
            <c:idx val="1"/>
            <c:bubble3D val="0"/>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extLst>
              <c:ext xmlns:c16="http://schemas.microsoft.com/office/drawing/2014/chart" uri="{C3380CC4-5D6E-409C-BE32-E72D297353CC}">
                <c16:uniqueId val="{00000003-D336-49F0-94CD-3BA2E7BDB1EC}"/>
              </c:ext>
            </c:extLst>
          </c:dPt>
          <c:dLbls>
            <c:dLbl>
              <c:idx val="0"/>
              <c:delete val="1"/>
              <c:extLst>
                <c:ext xmlns:c15="http://schemas.microsoft.com/office/drawing/2012/chart" uri="{CE6537A1-D6FC-4f65-9D91-7224C49458BB}"/>
                <c:ext xmlns:c16="http://schemas.microsoft.com/office/drawing/2014/chart" uri="{C3380CC4-5D6E-409C-BE32-E72D297353CC}">
                  <c16:uniqueId val="{00000001-D336-49F0-94CD-3BA2E7BDB1EC}"/>
                </c:ext>
              </c:extLst>
            </c:dLbl>
            <c:dLbl>
              <c:idx val="1"/>
              <c:layout>
                <c:manualLayout>
                  <c:x val="-0.18888888888888891"/>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36-49F0-94CD-3BA2E7BDB1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Analysis 2 '!$T$7:$T$9</c:f>
              <c:strCache>
                <c:ptCount val="2"/>
                <c:pt idx="0">
                  <c:v>Weekday</c:v>
                </c:pt>
                <c:pt idx="1">
                  <c:v>Weekend</c:v>
                </c:pt>
              </c:strCache>
            </c:strRef>
          </c:cat>
          <c:val>
            <c:numRef>
              <c:f>' Analysis 2 '!$U$7:$U$9</c:f>
              <c:numCache>
                <c:formatCode>0.00%</c:formatCode>
                <c:ptCount val="2"/>
                <c:pt idx="0">
                  <c:v>0.7149649995008911</c:v>
                </c:pt>
                <c:pt idx="1">
                  <c:v>0.2850350004991079</c:v>
                </c:pt>
              </c:numCache>
            </c:numRef>
          </c:val>
          <c:extLst>
            <c:ext xmlns:c16="http://schemas.microsoft.com/office/drawing/2014/chart" uri="{C3380CC4-5D6E-409C-BE32-E72D297353CC}">
              <c16:uniqueId val="{00000004-D336-49F0-94CD-3BA2E7BDB1E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 Analysis 2 !PivotTable1</c:name>
    <c:fmtId val="70"/>
  </c:pivotSource>
  <c:chart>
    <c:autoTitleDeleted val="1"/>
    <c:pivotFmts>
      <c:pivotFmt>
        <c:idx val="0"/>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accent3">
                <a:lumMod val="20000"/>
                <a:lumOff val="80000"/>
              </a:schemeClr>
            </a:solidFill>
          </a:ln>
          <a:effectLst/>
        </c:spPr>
        <c:dLbl>
          <c:idx val="0"/>
          <c:layout>
            <c:manualLayout>
              <c:x val="0.15277777777777779"/>
              <c:y val="-0.21296296296296305"/>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accent3">
                <a:lumMod val="20000"/>
                <a:lumOff val="80000"/>
              </a:schemeClr>
            </a:solidFill>
          </a:ln>
          <a:effectLst/>
        </c:spPr>
        <c:dLbl>
          <c:idx val="0"/>
          <c:layout>
            <c:manualLayout>
              <c:x val="0.15277777777777779"/>
              <c:y val="-0.21296296296296305"/>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accent3">
                <a:lumMod val="20000"/>
                <a:lumOff val="80000"/>
              </a:schemeClr>
            </a:solidFill>
          </a:ln>
          <a:effectLst/>
        </c:spPr>
        <c:dLbl>
          <c:idx val="0"/>
          <c:layout>
            <c:manualLayout>
              <c:x val="0.15277777777777779"/>
              <c:y val="-0.21296296296296305"/>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31539807524057"/>
          <c:y val="0.12520049577136191"/>
          <c:w val="0.41581364829396328"/>
          <c:h val="0.69302274715660539"/>
        </c:manualLayout>
      </c:layout>
      <c:doughnutChart>
        <c:varyColors val="1"/>
        <c:ser>
          <c:idx val="0"/>
          <c:order val="0"/>
          <c:tx>
            <c:strRef>
              <c:f>' Analysis 2 '!$U$6</c:f>
              <c:strCache>
                <c:ptCount val="1"/>
                <c:pt idx="0">
                  <c:v>Total</c:v>
                </c:pt>
              </c:strCache>
            </c:strRef>
          </c:tx>
          <c:spPr>
            <a:solidFill>
              <a:schemeClr val="accent5">
                <a:lumMod val="20000"/>
                <a:lumOff val="80000"/>
              </a:schemeClr>
            </a:solidFill>
            <a:ln>
              <a:solidFill>
                <a:schemeClr val="accent3">
                  <a:lumMod val="20000"/>
                  <a:lumOff val="80000"/>
                </a:schemeClr>
              </a:solidFill>
            </a:ln>
          </c:spPr>
          <c:explosion val="54"/>
          <c:dPt>
            <c:idx val="0"/>
            <c:bubble3D val="0"/>
            <c:spPr>
              <a:solidFill>
                <a:schemeClr val="accent5">
                  <a:lumMod val="60000"/>
                  <a:lumOff val="40000"/>
                </a:schemeClr>
              </a:solidFill>
              <a:ln w="19050">
                <a:solidFill>
                  <a:schemeClr val="accent3">
                    <a:lumMod val="20000"/>
                    <a:lumOff val="80000"/>
                  </a:schemeClr>
                </a:solidFill>
              </a:ln>
              <a:effectLst/>
            </c:spPr>
            <c:extLst>
              <c:ext xmlns:c16="http://schemas.microsoft.com/office/drawing/2014/chart" uri="{C3380CC4-5D6E-409C-BE32-E72D297353CC}">
                <c16:uniqueId val="{00000001-F236-4575-A76B-A50E6884CBC1}"/>
              </c:ext>
            </c:extLst>
          </c:dPt>
          <c:dPt>
            <c:idx val="1"/>
            <c:bubble3D val="0"/>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extLst>
              <c:ext xmlns:c16="http://schemas.microsoft.com/office/drawing/2014/chart" uri="{C3380CC4-5D6E-409C-BE32-E72D297353CC}">
                <c16:uniqueId val="{00000003-F236-4575-A76B-A50E6884CBC1}"/>
              </c:ext>
            </c:extLst>
          </c:dPt>
          <c:dLbls>
            <c:dLbl>
              <c:idx val="0"/>
              <c:layout>
                <c:manualLayout>
                  <c:x val="0.15277777777777779"/>
                  <c:y val="-0.2129629629629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36-4575-A76B-A50E6884CBC1}"/>
                </c:ext>
              </c:extLst>
            </c:dLbl>
            <c:dLbl>
              <c:idx val="1"/>
              <c:delete val="1"/>
              <c:extLst>
                <c:ext xmlns:c15="http://schemas.microsoft.com/office/drawing/2012/chart" uri="{CE6537A1-D6FC-4f65-9D91-7224C49458BB}"/>
                <c:ext xmlns:c16="http://schemas.microsoft.com/office/drawing/2014/chart" uri="{C3380CC4-5D6E-409C-BE32-E72D297353CC}">
                  <c16:uniqueId val="{00000003-F236-4575-A76B-A50E6884CBC1}"/>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Analysis 2 '!$T$7:$T$9</c:f>
              <c:strCache>
                <c:ptCount val="2"/>
                <c:pt idx="0">
                  <c:v>Weekday</c:v>
                </c:pt>
                <c:pt idx="1">
                  <c:v>Weekend</c:v>
                </c:pt>
              </c:strCache>
            </c:strRef>
          </c:cat>
          <c:val>
            <c:numRef>
              <c:f>' Analysis 2 '!$U$7:$U$9</c:f>
              <c:numCache>
                <c:formatCode>0.00%</c:formatCode>
                <c:ptCount val="2"/>
                <c:pt idx="0">
                  <c:v>0.7149649995008911</c:v>
                </c:pt>
                <c:pt idx="1">
                  <c:v>0.2850350004991079</c:v>
                </c:pt>
              </c:numCache>
            </c:numRef>
          </c:val>
          <c:extLst>
            <c:ext xmlns:c16="http://schemas.microsoft.com/office/drawing/2014/chart" uri="{C3380CC4-5D6E-409C-BE32-E72D297353CC}">
              <c16:uniqueId val="{00000004-F236-4575-A76B-A50E6884CBC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 Analysis 2 !PivotTable7</c:name>
    <c:fmtId val="2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Analysis 2 '!$C$6</c:f>
              <c:strCache>
                <c:ptCount val="1"/>
                <c:pt idx="0">
                  <c:v>Total Revenue</c:v>
                </c:pt>
              </c:strCache>
            </c:strRef>
          </c:tx>
          <c:spPr>
            <a:ln w="28575" cap="rnd">
              <a:solidFill>
                <a:schemeClr val="accent1"/>
              </a:solidFill>
              <a:round/>
            </a:ln>
            <a:effectLst/>
          </c:spPr>
          <c:marker>
            <c:symbol val="none"/>
          </c:marker>
          <c:cat>
            <c:strRef>
              <c:f>' Analysis 2 '!$B$7:$B$18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 2 '!$C$7:$C$18</c:f>
              <c:numCache>
                <c:formatCode>[&gt;=1000000]"$"0.0,,"M";[&gt;=1000]"$"0.0,"K";0</c:formatCode>
                <c:ptCount val="12"/>
                <c:pt idx="0">
                  <c:v>40299.57999999998</c:v>
                </c:pt>
                <c:pt idx="1">
                  <c:v>44995.01</c:v>
                </c:pt>
                <c:pt idx="2">
                  <c:v>42429.639999999992</c:v>
                </c:pt>
                <c:pt idx="3">
                  <c:v>44533.37000000001</c:v>
                </c:pt>
                <c:pt idx="4">
                  <c:v>47986.959999999985</c:v>
                </c:pt>
                <c:pt idx="5">
                  <c:v>47623.309999999983</c:v>
                </c:pt>
                <c:pt idx="6">
                  <c:v>37578.869999999988</c:v>
                </c:pt>
                <c:pt idx="7">
                  <c:v>47345.999999999993</c:v>
                </c:pt>
                <c:pt idx="8">
                  <c:v>37484.260000000009</c:v>
                </c:pt>
                <c:pt idx="9">
                  <c:v>47193.959999999992</c:v>
                </c:pt>
                <c:pt idx="10">
                  <c:v>50601.920000000013</c:v>
                </c:pt>
                <c:pt idx="11">
                  <c:v>38114.119999999966</c:v>
                </c:pt>
              </c:numCache>
            </c:numRef>
          </c:val>
          <c:smooth val="0"/>
          <c:extLst>
            <c:ext xmlns:c16="http://schemas.microsoft.com/office/drawing/2014/chart" uri="{C3380CC4-5D6E-409C-BE32-E72D297353CC}">
              <c16:uniqueId val="{00000000-A374-4DCB-8389-8B810D45DAFC}"/>
            </c:ext>
          </c:extLst>
        </c:ser>
        <c:ser>
          <c:idx val="1"/>
          <c:order val="1"/>
          <c:tx>
            <c:strRef>
              <c:f>' Analysis 2 '!$D$6</c:f>
              <c:strCache>
                <c:ptCount val="1"/>
                <c:pt idx="0">
                  <c:v>Total Target</c:v>
                </c:pt>
              </c:strCache>
            </c:strRef>
          </c:tx>
          <c:spPr>
            <a:ln w="28575" cap="rnd">
              <a:solidFill>
                <a:schemeClr val="accent2"/>
              </a:solidFill>
              <a:round/>
            </a:ln>
            <a:effectLst/>
          </c:spPr>
          <c:marker>
            <c:symbol val="none"/>
          </c:marker>
          <c:cat>
            <c:strRef>
              <c:f>' Analysis 2 '!$B$7:$B$18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 2 '!$D$7:$D$18</c:f>
              <c:numCache>
                <c:formatCode>[&gt;=1000000]"$"0.0,,"M";[&gt;=1000]"$"0.0,"K";0</c:formatCode>
                <c:ptCount val="12"/>
                <c:pt idx="0">
                  <c:v>58884</c:v>
                </c:pt>
                <c:pt idx="1">
                  <c:v>48921</c:v>
                </c:pt>
                <c:pt idx="2">
                  <c:v>40240</c:v>
                </c:pt>
                <c:pt idx="3">
                  <c:v>51463</c:v>
                </c:pt>
                <c:pt idx="4">
                  <c:v>42829</c:v>
                </c:pt>
                <c:pt idx="5">
                  <c:v>41880</c:v>
                </c:pt>
                <c:pt idx="6">
                  <c:v>57096</c:v>
                </c:pt>
                <c:pt idx="7">
                  <c:v>49810</c:v>
                </c:pt>
                <c:pt idx="8">
                  <c:v>48154</c:v>
                </c:pt>
                <c:pt idx="9">
                  <c:v>58298</c:v>
                </c:pt>
                <c:pt idx="10">
                  <c:v>52960</c:v>
                </c:pt>
                <c:pt idx="11">
                  <c:v>49975</c:v>
                </c:pt>
              </c:numCache>
            </c:numRef>
          </c:val>
          <c:smooth val="0"/>
          <c:extLst>
            <c:ext xmlns:c16="http://schemas.microsoft.com/office/drawing/2014/chart" uri="{C3380CC4-5D6E-409C-BE32-E72D297353CC}">
              <c16:uniqueId val="{00000001-A374-4DCB-8389-8B810D45DAFC}"/>
            </c:ext>
          </c:extLst>
        </c:ser>
        <c:dLbls>
          <c:showLegendKey val="0"/>
          <c:showVal val="0"/>
          <c:showCatName val="0"/>
          <c:showSerName val="0"/>
          <c:showPercent val="0"/>
          <c:showBubbleSize val="0"/>
        </c:dLbls>
        <c:smooth val="0"/>
        <c:axId val="1432391983"/>
        <c:axId val="594222959"/>
      </c:lineChart>
      <c:catAx>
        <c:axId val="143239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22959"/>
        <c:crosses val="autoZero"/>
        <c:auto val="1"/>
        <c:lblAlgn val="ctr"/>
        <c:lblOffset val="100"/>
        <c:noMultiLvlLbl val="0"/>
      </c:catAx>
      <c:valAx>
        <c:axId val="594222959"/>
        <c:scaling>
          <c:orientation val="minMax"/>
        </c:scaling>
        <c:delete val="0"/>
        <c:axPos val="l"/>
        <c:numFmt formatCode="[&gt;=1000000]&quot;$&quot;0.0,,&quot;M&quot;;[&gt;=1000]&quot;$&quot;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9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 Analysis 2 '!$G$6</c:f>
              <c:strCache>
                <c:ptCount val="1"/>
                <c:pt idx="0">
                  <c:v>Total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C-CC12-4F38-9F2B-9049D7C8072B}"/>
                </c:ext>
              </c:extLst>
            </c:dLbl>
            <c:dLbl>
              <c:idx val="1"/>
              <c:delete val="1"/>
              <c:extLst>
                <c:ext xmlns:c15="http://schemas.microsoft.com/office/drawing/2012/chart" uri="{CE6537A1-D6FC-4f65-9D91-7224C49458BB}"/>
                <c:ext xmlns:c16="http://schemas.microsoft.com/office/drawing/2014/chart" uri="{C3380CC4-5D6E-409C-BE32-E72D297353CC}">
                  <c16:uniqueId val="{0000000B-CC12-4F38-9F2B-9049D7C8072B}"/>
                </c:ext>
              </c:extLst>
            </c:dLbl>
            <c:dLbl>
              <c:idx val="2"/>
              <c:delete val="1"/>
              <c:extLst>
                <c:ext xmlns:c15="http://schemas.microsoft.com/office/drawing/2012/chart" uri="{CE6537A1-D6FC-4f65-9D91-7224C49458BB}"/>
                <c:ext xmlns:c16="http://schemas.microsoft.com/office/drawing/2014/chart" uri="{C3380CC4-5D6E-409C-BE32-E72D297353CC}">
                  <c16:uniqueId val="{00000004-CC12-4F38-9F2B-9049D7C8072B}"/>
                </c:ext>
              </c:extLst>
            </c:dLbl>
            <c:dLbl>
              <c:idx val="3"/>
              <c:delete val="1"/>
              <c:extLst>
                <c:ext xmlns:c15="http://schemas.microsoft.com/office/drawing/2012/chart" uri="{CE6537A1-D6FC-4f65-9D91-7224C49458BB}"/>
                <c:ext xmlns:c16="http://schemas.microsoft.com/office/drawing/2014/chart" uri="{C3380CC4-5D6E-409C-BE32-E72D297353CC}">
                  <c16:uniqueId val="{00000005-CC12-4F38-9F2B-9049D7C8072B}"/>
                </c:ext>
              </c:extLst>
            </c:dLbl>
            <c:dLbl>
              <c:idx val="4"/>
              <c:tx>
                <c:rich>
                  <a:bodyPr/>
                  <a:lstStyle/>
                  <a:p>
                    <a:fld id="{83E079CF-02AF-44BF-873D-2A22A3200D8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C12-4F38-9F2B-9049D7C8072B}"/>
                </c:ext>
              </c:extLst>
            </c:dLbl>
            <c:dLbl>
              <c:idx val="5"/>
              <c:delete val="1"/>
              <c:extLst>
                <c:ext xmlns:c15="http://schemas.microsoft.com/office/drawing/2012/chart" uri="{CE6537A1-D6FC-4f65-9D91-7224C49458BB}"/>
                <c:ext xmlns:c16="http://schemas.microsoft.com/office/drawing/2014/chart" uri="{C3380CC4-5D6E-409C-BE32-E72D297353CC}">
                  <c16:uniqueId val="{00000006-CC12-4F38-9F2B-9049D7C8072B}"/>
                </c:ext>
              </c:extLst>
            </c:dLbl>
            <c:dLbl>
              <c:idx val="6"/>
              <c:delete val="1"/>
              <c:extLst>
                <c:ext xmlns:c15="http://schemas.microsoft.com/office/drawing/2012/chart" uri="{CE6537A1-D6FC-4f65-9D91-7224C49458BB}"/>
                <c:ext xmlns:c16="http://schemas.microsoft.com/office/drawing/2014/chart" uri="{C3380CC4-5D6E-409C-BE32-E72D297353CC}">
                  <c16:uniqueId val="{00000003-CC12-4F38-9F2B-9049D7C8072B}"/>
                </c:ext>
              </c:extLst>
            </c:dLbl>
            <c:dLbl>
              <c:idx val="7"/>
              <c:tx>
                <c:rich>
                  <a:bodyPr/>
                  <a:lstStyle/>
                  <a:p>
                    <a:fld id="{6C1C7D7B-F754-4985-A562-55CBAF5827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CC12-4F38-9F2B-9049D7C8072B}"/>
                </c:ext>
              </c:extLst>
            </c:dLbl>
            <c:dLbl>
              <c:idx val="8"/>
              <c:delete val="1"/>
              <c:extLst>
                <c:ext xmlns:c15="http://schemas.microsoft.com/office/drawing/2012/chart" uri="{CE6537A1-D6FC-4f65-9D91-7224C49458BB}"/>
                <c:ext xmlns:c16="http://schemas.microsoft.com/office/drawing/2014/chart" uri="{C3380CC4-5D6E-409C-BE32-E72D297353CC}">
                  <c16:uniqueId val="{00000007-CC12-4F38-9F2B-9049D7C8072B}"/>
                </c:ext>
              </c:extLst>
            </c:dLbl>
            <c:dLbl>
              <c:idx val="9"/>
              <c:delete val="1"/>
              <c:extLst>
                <c:ext xmlns:c15="http://schemas.microsoft.com/office/drawing/2012/chart" uri="{CE6537A1-D6FC-4f65-9D91-7224C49458BB}"/>
                <c:ext xmlns:c16="http://schemas.microsoft.com/office/drawing/2014/chart" uri="{C3380CC4-5D6E-409C-BE32-E72D297353CC}">
                  <c16:uniqueId val="{00000008-CC12-4F38-9F2B-9049D7C8072B}"/>
                </c:ext>
              </c:extLst>
            </c:dLbl>
            <c:dLbl>
              <c:idx val="10"/>
              <c:delete val="1"/>
              <c:extLst>
                <c:ext xmlns:c15="http://schemas.microsoft.com/office/drawing/2012/chart" uri="{CE6537A1-D6FC-4f65-9D91-7224C49458BB}"/>
                <c:ext xmlns:c16="http://schemas.microsoft.com/office/drawing/2014/chart" uri="{C3380CC4-5D6E-409C-BE32-E72D297353CC}">
                  <c16:uniqueId val="{0000000A-CC12-4F38-9F2B-9049D7C8072B}"/>
                </c:ext>
              </c:extLst>
            </c:dLbl>
            <c:dLbl>
              <c:idx val="11"/>
              <c:delete val="1"/>
              <c:extLst>
                <c:ext xmlns:c15="http://schemas.microsoft.com/office/drawing/2012/chart" uri="{CE6537A1-D6FC-4f65-9D91-7224C49458BB}"/>
                <c:ext xmlns:c16="http://schemas.microsoft.com/office/drawing/2014/chart" uri="{C3380CC4-5D6E-409C-BE32-E72D297353CC}">
                  <c16:uniqueId val="{00000009-CC12-4F38-9F2B-9049D7C807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 Analysis 2 '!$F$7:$F$18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 2 '!$G$7:$G$18</c:f>
              <c:numCache>
                <c:formatCode>[&gt;=1000000]"$"0.0,,"M";[&gt;=1000]"$"0.0,"K";0</c:formatCode>
                <c:ptCount val="12"/>
                <c:pt idx="0">
                  <c:v>40299.57999999998</c:v>
                </c:pt>
                <c:pt idx="1">
                  <c:v>44995.01</c:v>
                </c:pt>
                <c:pt idx="2">
                  <c:v>42429.639999999992</c:v>
                </c:pt>
                <c:pt idx="3">
                  <c:v>44533.37000000001</c:v>
                </c:pt>
                <c:pt idx="4">
                  <c:v>47986.959999999985</c:v>
                </c:pt>
                <c:pt idx="5">
                  <c:v>47623.309999999983</c:v>
                </c:pt>
                <c:pt idx="6">
                  <c:v>37578.869999999988</c:v>
                </c:pt>
                <c:pt idx="7">
                  <c:v>47345.999999999993</c:v>
                </c:pt>
                <c:pt idx="8">
                  <c:v>37484.260000000009</c:v>
                </c:pt>
                <c:pt idx="9">
                  <c:v>47193.959999999992</c:v>
                </c:pt>
                <c:pt idx="10">
                  <c:v>50601.920000000013</c:v>
                </c:pt>
                <c:pt idx="11">
                  <c:v>38114.119999999966</c:v>
                </c:pt>
              </c:numCache>
            </c:numRef>
          </c:val>
          <c:smooth val="1"/>
          <c:extLst>
            <c:ext xmlns:c15="http://schemas.microsoft.com/office/drawing/2012/chart" uri="{02D57815-91ED-43cb-92C2-25804820EDAC}">
              <c15:datalabelsRange>
                <c15:f>' Analysis 2 '!$I$7:$I$18</c15:f>
                <c15:dlblRangeCache>
                  <c:ptCount val="12"/>
                  <c:pt idx="4">
                    <c:v>$48.0K</c:v>
                  </c:pt>
                  <c:pt idx="10">
                    <c:v>$50.6K</c:v>
                  </c:pt>
                </c15:dlblRangeCache>
              </c15:datalabelsRange>
            </c:ext>
            <c:ext xmlns:c16="http://schemas.microsoft.com/office/drawing/2014/chart" uri="{C3380CC4-5D6E-409C-BE32-E72D297353CC}">
              <c16:uniqueId val="{00000000-CC12-4F38-9F2B-9049D7C8072B}"/>
            </c:ext>
          </c:extLst>
        </c:ser>
        <c:ser>
          <c:idx val="1"/>
          <c:order val="1"/>
          <c:tx>
            <c:strRef>
              <c:f>' Analysis 2 '!$H$6</c:f>
              <c:strCache>
                <c:ptCount val="1"/>
                <c:pt idx="0">
                  <c:v>Total Target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 Analysis 2 '!$F$7:$F$18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 2 '!$H$7:$H$18</c:f>
              <c:numCache>
                <c:formatCode>[&gt;=1000000]"$"0.0,,"M";[&gt;=1000]"$"0.0,"K";0</c:formatCode>
                <c:ptCount val="12"/>
                <c:pt idx="0">
                  <c:v>58884</c:v>
                </c:pt>
                <c:pt idx="1">
                  <c:v>48921</c:v>
                </c:pt>
                <c:pt idx="2">
                  <c:v>40240</c:v>
                </c:pt>
                <c:pt idx="3">
                  <c:v>51463</c:v>
                </c:pt>
                <c:pt idx="4">
                  <c:v>42829</c:v>
                </c:pt>
                <c:pt idx="5">
                  <c:v>41880</c:v>
                </c:pt>
                <c:pt idx="6">
                  <c:v>57096</c:v>
                </c:pt>
                <c:pt idx="7">
                  <c:v>49810</c:v>
                </c:pt>
                <c:pt idx="8">
                  <c:v>48154</c:v>
                </c:pt>
                <c:pt idx="9">
                  <c:v>58298</c:v>
                </c:pt>
                <c:pt idx="10">
                  <c:v>52960</c:v>
                </c:pt>
                <c:pt idx="11">
                  <c:v>49975</c:v>
                </c:pt>
              </c:numCache>
            </c:numRef>
          </c:val>
          <c:smooth val="1"/>
          <c:extLst>
            <c:ext xmlns:c16="http://schemas.microsoft.com/office/drawing/2014/chart" uri="{C3380CC4-5D6E-409C-BE32-E72D297353CC}">
              <c16:uniqueId val="{00000001-CC12-4F38-9F2B-9049D7C8072B}"/>
            </c:ext>
          </c:extLst>
        </c:ser>
        <c:dLbls>
          <c:showLegendKey val="0"/>
          <c:showVal val="0"/>
          <c:showCatName val="0"/>
          <c:showSerName val="0"/>
          <c:showPercent val="0"/>
          <c:showBubbleSize val="0"/>
        </c:dLbls>
        <c:smooth val="0"/>
        <c:axId val="1433052815"/>
        <c:axId val="594226799"/>
      </c:lineChart>
      <c:catAx>
        <c:axId val="1433052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26799"/>
        <c:crosses val="autoZero"/>
        <c:auto val="1"/>
        <c:lblAlgn val="ctr"/>
        <c:lblOffset val="100"/>
        <c:noMultiLvlLbl val="0"/>
      </c:catAx>
      <c:valAx>
        <c:axId val="594226799"/>
        <c:scaling>
          <c:orientation val="minMax"/>
        </c:scaling>
        <c:delete val="0"/>
        <c:axPos val="l"/>
        <c:numFmt formatCode="[&gt;=1000000]&quot;$&quot;0.0,,&quot;M&quot;;[&gt;=1000]&quot;$&quot;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05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 Analysis 2 '!$L$6</c:f>
              <c:strCache>
                <c:ptCount val="1"/>
                <c:pt idx="0">
                  <c:v>Variance</c:v>
                </c:pt>
              </c:strCache>
            </c:strRef>
          </c:tx>
          <c:spPr>
            <a:solidFill>
              <a:schemeClr val="accent1"/>
            </a:solidFill>
            <a:ln>
              <a:noFill/>
            </a:ln>
            <a:effectLst/>
          </c:spPr>
          <c:invertIfNegative val="0"/>
          <c:cat>
            <c:strRef>
              <c:f>' Analysis 2 '!$K$7:$K$18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 2 '!$L$7:$L$18</c:f>
              <c:numCache>
                <c:formatCode>\+0.0%;\-0.0%</c:formatCode>
                <c:ptCount val="12"/>
                <c:pt idx="0">
                  <c:v>-0.31561069220841009</c:v>
                </c:pt>
                <c:pt idx="1">
                  <c:v>-8.0251630179268577E-2</c:v>
                </c:pt>
                <c:pt idx="2">
                  <c:v>5.4414512922465012E-2</c:v>
                </c:pt>
                <c:pt idx="3">
                  <c:v>-0.13465266307832793</c:v>
                </c:pt>
                <c:pt idx="4">
                  <c:v>0.12043148334072672</c:v>
                </c:pt>
                <c:pt idx="5">
                  <c:v>0.13713729703915911</c:v>
                </c:pt>
                <c:pt idx="6">
                  <c:v>-0.3418300756620431</c:v>
                </c:pt>
                <c:pt idx="7">
                  <c:v>-4.9467978317607054E-2</c:v>
                </c:pt>
                <c:pt idx="8">
                  <c:v>-0.22157536237903375</c:v>
                </c:pt>
                <c:pt idx="9">
                  <c:v>-0.1904703420357475</c:v>
                </c:pt>
                <c:pt idx="10">
                  <c:v>-4.4525679758307915E-2</c:v>
                </c:pt>
                <c:pt idx="11">
                  <c:v>-0.23733626813406772</c:v>
                </c:pt>
              </c:numCache>
            </c:numRef>
          </c:val>
          <c:extLst>
            <c:ext xmlns:c16="http://schemas.microsoft.com/office/drawing/2014/chart" uri="{C3380CC4-5D6E-409C-BE32-E72D297353CC}">
              <c16:uniqueId val="{00000000-4533-4559-9370-4F0A329021FA}"/>
            </c:ext>
          </c:extLst>
        </c:ser>
        <c:dLbls>
          <c:showLegendKey val="0"/>
          <c:showVal val="0"/>
          <c:showCatName val="0"/>
          <c:showSerName val="0"/>
          <c:showPercent val="0"/>
          <c:showBubbleSize val="0"/>
        </c:dLbls>
        <c:gapWidth val="219"/>
        <c:overlap val="-27"/>
        <c:axId val="1432487567"/>
        <c:axId val="594259439"/>
      </c:barChart>
      <c:catAx>
        <c:axId val="1432487567"/>
        <c:scaling>
          <c:orientation val="minMax"/>
        </c:scaling>
        <c:delete val="1"/>
        <c:axPos val="b"/>
        <c:numFmt formatCode="General" sourceLinked="1"/>
        <c:majorTickMark val="none"/>
        <c:minorTickMark val="none"/>
        <c:tickLblPos val="nextTo"/>
        <c:crossAx val="594259439"/>
        <c:crosses val="autoZero"/>
        <c:auto val="1"/>
        <c:lblAlgn val="ctr"/>
        <c:lblOffset val="100"/>
        <c:noMultiLvlLbl val="0"/>
      </c:catAx>
      <c:valAx>
        <c:axId val="594259439"/>
        <c:scaling>
          <c:orientation val="minMax"/>
        </c:scaling>
        <c:delete val="1"/>
        <c:axPos val="l"/>
        <c:numFmt formatCode="\+0.0%;\-0.0%" sourceLinked="1"/>
        <c:majorTickMark val="none"/>
        <c:minorTickMark val="none"/>
        <c:tickLblPos val="nextTo"/>
        <c:crossAx val="143248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 Analysis 2 !PivotTable1</c:name>
    <c:fmtId val="56"/>
  </c:pivotSource>
  <c:chart>
    <c:autoTitleDeleted val="1"/>
    <c:pivotFmts>
      <c:pivotFmt>
        <c:idx val="0"/>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accent3">
                <a:lumMod val="20000"/>
                <a:lumOff val="80000"/>
              </a:schemeClr>
            </a:solidFill>
          </a:ln>
          <a:effectLst/>
        </c:spPr>
        <c:dLbl>
          <c:idx val="0"/>
          <c:layout>
            <c:manualLayout>
              <c:x val="0.15277777777777779"/>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3153980752406"/>
          <c:y val="0.12520049577136191"/>
          <c:w val="0.41581364829396328"/>
          <c:h val="0.69302274715660539"/>
        </c:manualLayout>
      </c:layout>
      <c:doughnutChart>
        <c:varyColors val="1"/>
        <c:ser>
          <c:idx val="0"/>
          <c:order val="0"/>
          <c:tx>
            <c:strRef>
              <c:f>' Analysis 2 '!$U$6</c:f>
              <c:strCache>
                <c:ptCount val="1"/>
                <c:pt idx="0">
                  <c:v>Total</c:v>
                </c:pt>
              </c:strCache>
            </c:strRef>
          </c:tx>
          <c:spPr>
            <a:solidFill>
              <a:schemeClr val="accent5">
                <a:lumMod val="20000"/>
                <a:lumOff val="80000"/>
              </a:schemeClr>
            </a:solidFill>
            <a:ln>
              <a:solidFill>
                <a:schemeClr val="accent3">
                  <a:lumMod val="20000"/>
                  <a:lumOff val="80000"/>
                </a:schemeClr>
              </a:solidFill>
            </a:ln>
          </c:spPr>
          <c:explosion val="24"/>
          <c:dPt>
            <c:idx val="0"/>
            <c:bubble3D val="0"/>
            <c:spPr>
              <a:solidFill>
                <a:schemeClr val="accent5">
                  <a:lumMod val="60000"/>
                  <a:lumOff val="40000"/>
                </a:schemeClr>
              </a:solidFill>
              <a:ln w="19050">
                <a:solidFill>
                  <a:schemeClr val="accent3">
                    <a:lumMod val="20000"/>
                    <a:lumOff val="80000"/>
                  </a:schemeClr>
                </a:solidFill>
              </a:ln>
              <a:effectLst/>
            </c:spPr>
            <c:extLst>
              <c:ext xmlns:c16="http://schemas.microsoft.com/office/drawing/2014/chart" uri="{C3380CC4-5D6E-409C-BE32-E72D297353CC}">
                <c16:uniqueId val="{00000003-9870-4671-B04F-05D1CB97DA88}"/>
              </c:ext>
            </c:extLst>
          </c:dPt>
          <c:dPt>
            <c:idx val="1"/>
            <c:bubble3D val="0"/>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extLst>
              <c:ext xmlns:c16="http://schemas.microsoft.com/office/drawing/2014/chart" uri="{C3380CC4-5D6E-409C-BE32-E72D297353CC}">
                <c16:uniqueId val="{00000002-9870-4671-B04F-05D1CB97DA88}"/>
              </c:ext>
            </c:extLst>
          </c:dPt>
          <c:dLbls>
            <c:dLbl>
              <c:idx val="0"/>
              <c:layout>
                <c:manualLayout>
                  <c:x val="0.15277777777777779"/>
                  <c:y val="-0.2129629629629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70-4671-B04F-05D1CB97DA88}"/>
                </c:ext>
              </c:extLst>
            </c:dLbl>
            <c:dLbl>
              <c:idx val="1"/>
              <c:delete val="1"/>
              <c:extLst>
                <c:ext xmlns:c15="http://schemas.microsoft.com/office/drawing/2012/chart" uri="{CE6537A1-D6FC-4f65-9D91-7224C49458BB}"/>
                <c:ext xmlns:c16="http://schemas.microsoft.com/office/drawing/2014/chart" uri="{C3380CC4-5D6E-409C-BE32-E72D297353CC}">
                  <c16:uniqueId val="{00000002-9870-4671-B04F-05D1CB97DA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Analysis 2 '!$T$7:$T$9</c:f>
              <c:strCache>
                <c:ptCount val="2"/>
                <c:pt idx="0">
                  <c:v>Weekday</c:v>
                </c:pt>
                <c:pt idx="1">
                  <c:v>Weekend</c:v>
                </c:pt>
              </c:strCache>
            </c:strRef>
          </c:cat>
          <c:val>
            <c:numRef>
              <c:f>' Analysis 2 '!$U$7:$U$9</c:f>
              <c:numCache>
                <c:formatCode>0.00%</c:formatCode>
                <c:ptCount val="2"/>
                <c:pt idx="0">
                  <c:v>0.7149649995008911</c:v>
                </c:pt>
                <c:pt idx="1">
                  <c:v>0.2850350004991079</c:v>
                </c:pt>
              </c:numCache>
            </c:numRef>
          </c:val>
          <c:extLst>
            <c:ext xmlns:c16="http://schemas.microsoft.com/office/drawing/2014/chart" uri="{C3380CC4-5D6E-409C-BE32-E72D297353CC}">
              <c16:uniqueId val="{00000000-9870-4671-B04F-05D1CB97DA8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 Analysis 2 !PivotTable1</c:name>
    <c:fmtId val="64"/>
  </c:pivotSource>
  <c:chart>
    <c:autoTitleDeleted val="1"/>
    <c:pivotFmts>
      <c:pivotFmt>
        <c:idx val="0"/>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accent3">
                <a:lumMod val="20000"/>
                <a:lumOff val="80000"/>
              </a:schemeClr>
            </a:solidFill>
          </a:ln>
          <a:effectLst/>
        </c:spPr>
        <c:dLbl>
          <c:idx val="0"/>
          <c:layout>
            <c:manualLayout>
              <c:x val="0.15277777777777779"/>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accent3">
                <a:lumMod val="20000"/>
                <a:lumOff val="80000"/>
              </a:schemeClr>
            </a:solidFill>
          </a:ln>
          <a:effectLst/>
        </c:spPr>
        <c:dLbl>
          <c:idx val="0"/>
          <c:layout>
            <c:manualLayout>
              <c:x val="0.15277777777777779"/>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w="1905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accent3">
                <a:lumMod val="20000"/>
                <a:lumOff val="8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dLbl>
          <c:idx val="0"/>
          <c:layout>
            <c:manualLayout>
              <c:x val="-0.18888888888888891"/>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64873140857395"/>
          <c:y val="0.1668671624380286"/>
          <c:w val="0.41581364829396328"/>
          <c:h val="0.69302274715660539"/>
        </c:manualLayout>
      </c:layout>
      <c:doughnutChart>
        <c:varyColors val="1"/>
        <c:ser>
          <c:idx val="0"/>
          <c:order val="0"/>
          <c:tx>
            <c:strRef>
              <c:f>' Analysis 2 '!$U$6</c:f>
              <c:strCache>
                <c:ptCount val="1"/>
                <c:pt idx="0">
                  <c:v>Total</c:v>
                </c:pt>
              </c:strCache>
            </c:strRef>
          </c:tx>
          <c:spPr>
            <a:solidFill>
              <a:schemeClr val="accent5">
                <a:lumMod val="20000"/>
                <a:lumOff val="80000"/>
              </a:schemeClr>
            </a:solidFill>
            <a:ln>
              <a:solidFill>
                <a:schemeClr val="accent3">
                  <a:lumMod val="20000"/>
                  <a:lumOff val="80000"/>
                </a:schemeClr>
              </a:solidFill>
            </a:ln>
          </c:spPr>
          <c:explosion val="46"/>
          <c:dPt>
            <c:idx val="0"/>
            <c:bubble3D val="0"/>
            <c:spPr>
              <a:solidFill>
                <a:schemeClr val="accent5">
                  <a:lumMod val="60000"/>
                  <a:lumOff val="40000"/>
                </a:schemeClr>
              </a:solidFill>
              <a:ln w="19050">
                <a:solidFill>
                  <a:schemeClr val="accent3">
                    <a:lumMod val="20000"/>
                    <a:lumOff val="80000"/>
                  </a:schemeClr>
                </a:solidFill>
              </a:ln>
              <a:effectLst/>
            </c:spPr>
            <c:extLst>
              <c:ext xmlns:c16="http://schemas.microsoft.com/office/drawing/2014/chart" uri="{C3380CC4-5D6E-409C-BE32-E72D297353CC}">
                <c16:uniqueId val="{00000001-F6EA-4703-B312-CA0C304204AF}"/>
              </c:ext>
            </c:extLst>
          </c:dPt>
          <c:dPt>
            <c:idx val="1"/>
            <c:bubble3D val="0"/>
            <c:spPr>
              <a:solidFill>
                <a:schemeClr val="accent5">
                  <a:lumMod val="20000"/>
                  <a:lumOff val="80000"/>
                </a:schemeClr>
              </a:solidFill>
              <a:ln w="19050">
                <a:solidFill>
                  <a:schemeClr val="accent3">
                    <a:lumMod val="20000"/>
                    <a:lumOff val="80000"/>
                  </a:schemeClr>
                </a:solidFill>
              </a:ln>
              <a:effectLst>
                <a:outerShdw blurRad="50800" dist="50800" dir="5400000" algn="ctr" rotWithShape="0">
                  <a:schemeClr val="accent1">
                    <a:lumMod val="40000"/>
                    <a:lumOff val="60000"/>
                  </a:schemeClr>
                </a:outerShdw>
              </a:effectLst>
            </c:spPr>
            <c:extLst>
              <c:ext xmlns:c16="http://schemas.microsoft.com/office/drawing/2014/chart" uri="{C3380CC4-5D6E-409C-BE32-E72D297353CC}">
                <c16:uniqueId val="{00000003-F6EA-4703-B312-CA0C304204AF}"/>
              </c:ext>
            </c:extLst>
          </c:dPt>
          <c:dLbls>
            <c:dLbl>
              <c:idx val="0"/>
              <c:delete val="1"/>
              <c:extLst>
                <c:ext xmlns:c15="http://schemas.microsoft.com/office/drawing/2012/chart" uri="{CE6537A1-D6FC-4f65-9D91-7224C49458BB}"/>
                <c:ext xmlns:c16="http://schemas.microsoft.com/office/drawing/2014/chart" uri="{C3380CC4-5D6E-409C-BE32-E72D297353CC}">
                  <c16:uniqueId val="{00000001-F6EA-4703-B312-CA0C304204AF}"/>
                </c:ext>
              </c:extLst>
            </c:dLbl>
            <c:dLbl>
              <c:idx val="1"/>
              <c:layout>
                <c:manualLayout>
                  <c:x val="-0.18888888888888891"/>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EA-4703-B312-CA0C304204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Analysis 2 '!$T$7:$T$9</c:f>
              <c:strCache>
                <c:ptCount val="2"/>
                <c:pt idx="0">
                  <c:v>Weekday</c:v>
                </c:pt>
                <c:pt idx="1">
                  <c:v>Weekend</c:v>
                </c:pt>
              </c:strCache>
            </c:strRef>
          </c:cat>
          <c:val>
            <c:numRef>
              <c:f>' Analysis 2 '!$U$7:$U$9</c:f>
              <c:numCache>
                <c:formatCode>0.00%</c:formatCode>
                <c:ptCount val="2"/>
                <c:pt idx="0">
                  <c:v>0.7149649995008911</c:v>
                </c:pt>
                <c:pt idx="1">
                  <c:v>0.2850350004991079</c:v>
                </c:pt>
              </c:numCache>
            </c:numRef>
          </c:val>
          <c:extLst>
            <c:ext xmlns:c16="http://schemas.microsoft.com/office/drawing/2014/chart" uri="{C3380CC4-5D6E-409C-BE32-E72D297353CC}">
              <c16:uniqueId val="{00000004-F6EA-4703-B312-CA0C304204A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png"/><Relationship Id="rId1" Type="http://schemas.microsoft.com/office/2011/relationships/webextension" Target="../webextensions/webextension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500529</xdr:colOff>
      <xdr:row>0</xdr:row>
      <xdr:rowOff>89647</xdr:rowOff>
    </xdr:from>
    <xdr:to>
      <xdr:col>14</xdr:col>
      <xdr:colOff>582705</xdr:colOff>
      <xdr:row>4</xdr:row>
      <xdr:rowOff>91408</xdr:rowOff>
    </xdr:to>
    <xdr:sp macro="" textlink="">
      <xdr:nvSpPr>
        <xdr:cNvPr id="2" name="Rectangle: Rounded Corners 1">
          <a:extLst>
            <a:ext uri="{FF2B5EF4-FFF2-40B4-BE49-F238E27FC236}">
              <a16:creationId xmlns:a16="http://schemas.microsoft.com/office/drawing/2014/main" id="{D85F4D3C-8118-4D14-83FC-BD558B9FAE9F}"/>
            </a:ext>
          </a:extLst>
        </xdr:cNvPr>
        <xdr:cNvSpPr/>
      </xdr:nvSpPr>
      <xdr:spPr>
        <a:xfrm>
          <a:off x="1113117" y="89647"/>
          <a:ext cx="10839823" cy="883290"/>
        </a:xfrm>
        <a:prstGeom prst="roundRect">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476623</xdr:colOff>
      <xdr:row>17</xdr:row>
      <xdr:rowOff>98610</xdr:rowOff>
    </xdr:from>
    <xdr:to>
      <xdr:col>7</xdr:col>
      <xdr:colOff>1867647</xdr:colOff>
      <xdr:row>32</xdr:row>
      <xdr:rowOff>164353</xdr:rowOff>
    </xdr:to>
    <xdr:sp macro="" textlink="">
      <xdr:nvSpPr>
        <xdr:cNvPr id="41" name="Rectangle: Diagonal Corners Rounded 40">
          <a:extLst>
            <a:ext uri="{FF2B5EF4-FFF2-40B4-BE49-F238E27FC236}">
              <a16:creationId xmlns:a16="http://schemas.microsoft.com/office/drawing/2014/main" id="{55D36FA7-AD45-34AE-8066-64AA013C748F}"/>
            </a:ext>
          </a:extLst>
        </xdr:cNvPr>
        <xdr:cNvSpPr/>
      </xdr:nvSpPr>
      <xdr:spPr>
        <a:xfrm>
          <a:off x="1089211" y="3146610"/>
          <a:ext cx="5066554" cy="2755155"/>
        </a:xfrm>
        <a:prstGeom prst="round2DiagRect">
          <a:avLst>
            <a:gd name="adj1" fmla="val 4357"/>
            <a:gd name="adj2" fmla="val 0"/>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a:effectLst>
          <a:outerShdw blurRad="50800" dist="38100" dir="10800000" algn="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525928</xdr:colOff>
      <xdr:row>4</xdr:row>
      <xdr:rowOff>170328</xdr:rowOff>
    </xdr:from>
    <xdr:to>
      <xdr:col>6</xdr:col>
      <xdr:colOff>7470</xdr:colOff>
      <xdr:row>16</xdr:row>
      <xdr:rowOff>115047</xdr:rowOff>
    </xdr:to>
    <xdr:sp macro="" textlink="">
      <xdr:nvSpPr>
        <xdr:cNvPr id="40" name="Rectangle: Diagonal Corners Rounded 39">
          <a:extLst>
            <a:ext uri="{FF2B5EF4-FFF2-40B4-BE49-F238E27FC236}">
              <a16:creationId xmlns:a16="http://schemas.microsoft.com/office/drawing/2014/main" id="{0FE0258D-E786-5AA3-3806-F0EE65FE79AC}"/>
            </a:ext>
          </a:extLst>
        </xdr:cNvPr>
        <xdr:cNvSpPr/>
      </xdr:nvSpPr>
      <xdr:spPr>
        <a:xfrm>
          <a:off x="1138516" y="887504"/>
          <a:ext cx="2544483" cy="2096249"/>
        </a:xfrm>
        <a:prstGeom prst="round2DiagRect">
          <a:avLst>
            <a:gd name="adj1" fmla="val 4357"/>
            <a:gd name="adj2" fmla="val 0"/>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a:effectLst>
          <a:outerShdw blurRad="50800" dist="38100" dir="10800000" algn="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1975223</xdr:colOff>
      <xdr:row>21</xdr:row>
      <xdr:rowOff>77694</xdr:rowOff>
    </xdr:from>
    <xdr:to>
      <xdr:col>14</xdr:col>
      <xdr:colOff>585696</xdr:colOff>
      <xdr:row>32</xdr:row>
      <xdr:rowOff>137458</xdr:rowOff>
    </xdr:to>
    <xdr:sp macro="" textlink="">
      <xdr:nvSpPr>
        <xdr:cNvPr id="26" name="Rectangle: Diagonal Corners Rounded 25">
          <a:extLst>
            <a:ext uri="{FF2B5EF4-FFF2-40B4-BE49-F238E27FC236}">
              <a16:creationId xmlns:a16="http://schemas.microsoft.com/office/drawing/2014/main" id="{58C77FC4-9CCE-FF00-C382-2CEF652D6472}"/>
            </a:ext>
          </a:extLst>
        </xdr:cNvPr>
        <xdr:cNvSpPr/>
      </xdr:nvSpPr>
      <xdr:spPr>
        <a:xfrm>
          <a:off x="6263341" y="3842870"/>
          <a:ext cx="5692590" cy="2032000"/>
        </a:xfrm>
        <a:prstGeom prst="round2DiagRect">
          <a:avLst>
            <a:gd name="adj1" fmla="val 4357"/>
            <a:gd name="adj2" fmla="val 0"/>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a:effectLst>
          <a:outerShdw blurRad="50800" dist="38100" dir="10800000" algn="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1994646</xdr:colOff>
      <xdr:row>9</xdr:row>
      <xdr:rowOff>104588</xdr:rowOff>
    </xdr:from>
    <xdr:to>
      <xdr:col>14</xdr:col>
      <xdr:colOff>605119</xdr:colOff>
      <xdr:row>20</xdr:row>
      <xdr:rowOff>164353</xdr:rowOff>
    </xdr:to>
    <xdr:sp macro="" textlink="">
      <xdr:nvSpPr>
        <xdr:cNvPr id="3" name="Rectangle: Diagonal Corners Rounded 2">
          <a:extLst>
            <a:ext uri="{FF2B5EF4-FFF2-40B4-BE49-F238E27FC236}">
              <a16:creationId xmlns:a16="http://schemas.microsoft.com/office/drawing/2014/main" id="{684EDF08-3F66-4D4B-B79B-1D1E029E2EEE}"/>
            </a:ext>
          </a:extLst>
        </xdr:cNvPr>
        <xdr:cNvSpPr/>
      </xdr:nvSpPr>
      <xdr:spPr>
        <a:xfrm>
          <a:off x="6282764" y="1718235"/>
          <a:ext cx="5692590" cy="2032000"/>
        </a:xfrm>
        <a:prstGeom prst="round2DiagRect">
          <a:avLst>
            <a:gd name="adj1" fmla="val 4357"/>
            <a:gd name="adj2" fmla="val 0"/>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a:effectLst>
          <a:outerShdw blurRad="50800" dist="38100" dir="10800000" algn="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2002117</xdr:colOff>
      <xdr:row>20</xdr:row>
      <xdr:rowOff>134470</xdr:rowOff>
    </xdr:from>
    <xdr:to>
      <xdr:col>15</xdr:col>
      <xdr:colOff>74705</xdr:colOff>
      <xdr:row>33</xdr:row>
      <xdr:rowOff>97117</xdr:rowOff>
    </xdr:to>
    <xdr:graphicFrame macro="">
      <xdr:nvGraphicFramePr>
        <xdr:cNvPr id="17" name="Chart 16">
          <a:extLst>
            <a:ext uri="{FF2B5EF4-FFF2-40B4-BE49-F238E27FC236}">
              <a16:creationId xmlns:a16="http://schemas.microsoft.com/office/drawing/2014/main" id="{421496B9-AEA8-4477-A37D-52FF35A10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2442882</xdr:colOff>
      <xdr:row>12</xdr:row>
      <xdr:rowOff>104588</xdr:rowOff>
    </xdr:from>
    <xdr:to>
      <xdr:col>14</xdr:col>
      <xdr:colOff>463176</xdr:colOff>
      <xdr:row>20</xdr:row>
      <xdr:rowOff>22412</xdr:rowOff>
    </xdr:to>
    <xdr:graphicFrame macro="">
      <xdr:nvGraphicFramePr>
        <xdr:cNvPr id="18" name="Chart 17">
          <a:extLst>
            <a:ext uri="{FF2B5EF4-FFF2-40B4-BE49-F238E27FC236}">
              <a16:creationId xmlns:a16="http://schemas.microsoft.com/office/drawing/2014/main" id="{716494EB-6BDD-404D-A647-5DBA1E6EE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543112</xdr:colOff>
      <xdr:row>18</xdr:row>
      <xdr:rowOff>14941</xdr:rowOff>
    </xdr:from>
    <xdr:to>
      <xdr:col>7</xdr:col>
      <xdr:colOff>1807882</xdr:colOff>
      <xdr:row>31</xdr:row>
      <xdr:rowOff>144182</xdr:rowOff>
    </xdr:to>
    <mc:AlternateContent xmlns:mc="http://schemas.openxmlformats.org/markup-compatibility/2006">
      <mc:Choice xmlns:a14="http://schemas.microsoft.com/office/drawing/2010/main" Requires="a14">
        <xdr:graphicFrame macro="">
          <xdr:nvGraphicFramePr>
            <xdr:cNvPr id="20" name="Store Name 1">
              <a:extLst>
                <a:ext uri="{FF2B5EF4-FFF2-40B4-BE49-F238E27FC236}">
                  <a16:creationId xmlns:a16="http://schemas.microsoft.com/office/drawing/2014/main" id="{6A095B1D-C954-4CF2-97F5-88249C26BDBE}"/>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dr:sp macro="" textlink="">
          <xdr:nvSpPr>
            <xdr:cNvPr id="0" name=""/>
            <xdr:cNvSpPr>
              <a:spLocks noTextEdit="1"/>
            </xdr:cNvSpPr>
          </xdr:nvSpPr>
          <xdr:spPr>
            <a:xfrm>
              <a:off x="1155700" y="3406588"/>
              <a:ext cx="4940300" cy="2460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218142</xdr:colOff>
      <xdr:row>4</xdr:row>
      <xdr:rowOff>135962</xdr:rowOff>
    </xdr:from>
    <xdr:to>
      <xdr:col>10</xdr:col>
      <xdr:colOff>373531</xdr:colOff>
      <xdr:row>9</xdr:row>
      <xdr:rowOff>43327</xdr:rowOff>
    </xdr:to>
    <xdr:grpSp>
      <xdr:nvGrpSpPr>
        <xdr:cNvPr id="56" name="Group 55">
          <a:extLst>
            <a:ext uri="{FF2B5EF4-FFF2-40B4-BE49-F238E27FC236}">
              <a16:creationId xmlns:a16="http://schemas.microsoft.com/office/drawing/2014/main" id="{D8901B5C-E3E7-A4F9-2CB5-C51A700EDC94}"/>
            </a:ext>
          </a:extLst>
        </xdr:cNvPr>
        <xdr:cNvGrpSpPr/>
      </xdr:nvGrpSpPr>
      <xdr:grpSpPr>
        <a:xfrm>
          <a:off x="7912848" y="1017491"/>
          <a:ext cx="1380565" cy="803836"/>
          <a:chOff x="6284259" y="868080"/>
          <a:chExt cx="1380565" cy="803836"/>
        </a:xfrm>
      </xdr:grpSpPr>
      <xdr:sp macro="" textlink="">
        <xdr:nvSpPr>
          <xdr:cNvPr id="31" name="Rectangle: Diagonal Corners Rounded 30">
            <a:extLst>
              <a:ext uri="{FF2B5EF4-FFF2-40B4-BE49-F238E27FC236}">
                <a16:creationId xmlns:a16="http://schemas.microsoft.com/office/drawing/2014/main" id="{0C2DDBA3-6341-EB00-A490-E847D89D6A1B}"/>
              </a:ext>
            </a:extLst>
          </xdr:cNvPr>
          <xdr:cNvSpPr/>
        </xdr:nvSpPr>
        <xdr:spPr>
          <a:xfrm>
            <a:off x="6284259" y="868080"/>
            <a:ext cx="1296894" cy="803836"/>
          </a:xfrm>
          <a:prstGeom prst="round2DiagRect">
            <a:avLst>
              <a:gd name="adj1" fmla="val 4357"/>
              <a:gd name="adj2" fmla="val 0"/>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a:effectLst>
            <a:outerShdw blurRad="50800" dist="38100" dir="10800000" algn="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6" name="TextBox 5">
            <a:extLst>
              <a:ext uri="{FF2B5EF4-FFF2-40B4-BE49-F238E27FC236}">
                <a16:creationId xmlns:a16="http://schemas.microsoft.com/office/drawing/2014/main" id="{0BE6A94C-4E07-D54C-BFEF-FE6D15877E1B}"/>
              </a:ext>
            </a:extLst>
          </xdr:cNvPr>
          <xdr:cNvSpPr txBox="1"/>
        </xdr:nvSpPr>
        <xdr:spPr>
          <a:xfrm>
            <a:off x="6340412" y="942786"/>
            <a:ext cx="132441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a:t>
            </a:r>
            <a:r>
              <a:rPr lang="en-US" sz="1400" baseline="0"/>
              <a:t> Revenue</a:t>
            </a:r>
            <a:endParaRPr lang="en-US" sz="1400"/>
          </a:p>
        </xdr:txBody>
      </xdr:sp>
      <xdr:sp macro="" textlink="' Analysis 2 '!P7">
        <xdr:nvSpPr>
          <xdr:cNvPr id="7" name="TextBox 6">
            <a:extLst>
              <a:ext uri="{FF2B5EF4-FFF2-40B4-BE49-F238E27FC236}">
                <a16:creationId xmlns:a16="http://schemas.microsoft.com/office/drawing/2014/main" id="{544DB3A9-C2F7-9C36-E0F8-C824DD14EE03}"/>
              </a:ext>
            </a:extLst>
          </xdr:cNvPr>
          <xdr:cNvSpPr txBox="1"/>
        </xdr:nvSpPr>
        <xdr:spPr>
          <a:xfrm>
            <a:off x="6458274" y="1234139"/>
            <a:ext cx="1012315"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ADD4E4-2C7F-4DA8-97AC-9B3946D8B0AA}" type="TxLink">
              <a:rPr lang="en-US" sz="1800" b="0" i="0" u="none" strike="noStrike">
                <a:solidFill>
                  <a:srgbClr val="000000"/>
                </a:solidFill>
                <a:latin typeface="Calibri"/>
                <a:ea typeface="Calibri"/>
                <a:cs typeface="Calibri"/>
              </a:rPr>
              <a:t>$526.2K</a:t>
            </a:fld>
            <a:endParaRPr lang="en-US" sz="1800"/>
          </a:p>
        </xdr:txBody>
      </xdr:sp>
    </xdr:grpSp>
    <xdr:clientData/>
  </xdr:twoCellAnchor>
  <xdr:twoCellAnchor>
    <xdr:from>
      <xdr:col>10</xdr:col>
      <xdr:colOff>401918</xdr:colOff>
      <xdr:row>4</xdr:row>
      <xdr:rowOff>140445</xdr:rowOff>
    </xdr:from>
    <xdr:to>
      <xdr:col>12</xdr:col>
      <xdr:colOff>478116</xdr:colOff>
      <xdr:row>9</xdr:row>
      <xdr:rowOff>47810</xdr:rowOff>
    </xdr:to>
    <xdr:grpSp>
      <xdr:nvGrpSpPr>
        <xdr:cNvPr id="55" name="Group 54">
          <a:extLst>
            <a:ext uri="{FF2B5EF4-FFF2-40B4-BE49-F238E27FC236}">
              <a16:creationId xmlns:a16="http://schemas.microsoft.com/office/drawing/2014/main" id="{EBF2533B-D4F5-A89C-2168-E9EACD671EC1}"/>
            </a:ext>
          </a:extLst>
        </xdr:cNvPr>
        <xdr:cNvGrpSpPr/>
      </xdr:nvGrpSpPr>
      <xdr:grpSpPr>
        <a:xfrm>
          <a:off x="9321800" y="1021974"/>
          <a:ext cx="1301375" cy="803836"/>
          <a:chOff x="7797800" y="850151"/>
          <a:chExt cx="1301375" cy="803836"/>
        </a:xfrm>
      </xdr:grpSpPr>
      <xdr:sp macro="" textlink="">
        <xdr:nvSpPr>
          <xdr:cNvPr id="28" name="Rectangle: Diagonal Corners Rounded 27">
            <a:extLst>
              <a:ext uri="{FF2B5EF4-FFF2-40B4-BE49-F238E27FC236}">
                <a16:creationId xmlns:a16="http://schemas.microsoft.com/office/drawing/2014/main" id="{99934502-D308-F40E-4711-A163B0E5BD94}"/>
              </a:ext>
            </a:extLst>
          </xdr:cNvPr>
          <xdr:cNvSpPr/>
        </xdr:nvSpPr>
        <xdr:spPr>
          <a:xfrm>
            <a:off x="7797800" y="850151"/>
            <a:ext cx="1296894" cy="803836"/>
          </a:xfrm>
          <a:prstGeom prst="round2DiagRect">
            <a:avLst>
              <a:gd name="adj1" fmla="val 4357"/>
              <a:gd name="adj2" fmla="val 0"/>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a:effectLst>
            <a:outerShdw blurRad="50800" dist="38100" dir="10800000" algn="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 name="TextBox 3">
            <a:extLst>
              <a:ext uri="{FF2B5EF4-FFF2-40B4-BE49-F238E27FC236}">
                <a16:creationId xmlns:a16="http://schemas.microsoft.com/office/drawing/2014/main" id="{3F13AA11-0524-6D2D-0AE1-69BA5CCB932F}"/>
              </a:ext>
            </a:extLst>
          </xdr:cNvPr>
          <xdr:cNvSpPr txBox="1"/>
        </xdr:nvSpPr>
        <xdr:spPr>
          <a:xfrm>
            <a:off x="7931048" y="950256"/>
            <a:ext cx="1168127"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a:t>
            </a:r>
            <a:r>
              <a:rPr lang="en-US" sz="1400" baseline="0"/>
              <a:t> Target</a:t>
            </a:r>
          </a:p>
          <a:p>
            <a:endParaRPr lang="en-US" sz="1100"/>
          </a:p>
        </xdr:txBody>
      </xdr:sp>
      <xdr:sp macro="" textlink="' Analysis 2 '!Q7">
        <xdr:nvSpPr>
          <xdr:cNvPr id="9" name="TextBox 8">
            <a:extLst>
              <a:ext uri="{FF2B5EF4-FFF2-40B4-BE49-F238E27FC236}">
                <a16:creationId xmlns:a16="http://schemas.microsoft.com/office/drawing/2014/main" id="{7075A357-5326-3B8C-6DB8-054E7154A59B}"/>
              </a:ext>
            </a:extLst>
          </xdr:cNvPr>
          <xdr:cNvSpPr txBox="1"/>
        </xdr:nvSpPr>
        <xdr:spPr>
          <a:xfrm>
            <a:off x="7968403" y="1226670"/>
            <a:ext cx="958950"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069278-5B0D-4E92-8BA8-E1FFE4FDAE3B}" type="TxLink">
              <a:rPr lang="en-US" sz="1800" b="0" i="0" u="none" strike="noStrike">
                <a:solidFill>
                  <a:srgbClr val="000000"/>
                </a:solidFill>
                <a:latin typeface="Calibri"/>
                <a:ea typeface="Calibri"/>
                <a:cs typeface="Calibri"/>
              </a:rPr>
              <a:pPr marL="0" indent="0"/>
              <a:t>$600.5K</a:t>
            </a:fld>
            <a:endParaRPr lang="en-US" sz="1800" b="0" i="0" u="none" strike="noStrike">
              <a:solidFill>
                <a:srgbClr val="000000"/>
              </a:solidFill>
              <a:latin typeface="Calibri"/>
              <a:ea typeface="Calibri"/>
              <a:cs typeface="Calibri"/>
            </a:endParaRPr>
          </a:p>
        </xdr:txBody>
      </xdr:sp>
    </xdr:grpSp>
    <xdr:clientData/>
  </xdr:twoCellAnchor>
  <xdr:twoCellAnchor>
    <xdr:from>
      <xdr:col>13</xdr:col>
      <xdr:colOff>1494</xdr:colOff>
      <xdr:row>4</xdr:row>
      <xdr:rowOff>135963</xdr:rowOff>
    </xdr:from>
    <xdr:to>
      <xdr:col>15</xdr:col>
      <xdr:colOff>73211</xdr:colOff>
      <xdr:row>9</xdr:row>
      <xdr:rowOff>89646</xdr:rowOff>
    </xdr:to>
    <xdr:grpSp>
      <xdr:nvGrpSpPr>
        <xdr:cNvPr id="54" name="Group 53">
          <a:extLst>
            <a:ext uri="{FF2B5EF4-FFF2-40B4-BE49-F238E27FC236}">
              <a16:creationId xmlns:a16="http://schemas.microsoft.com/office/drawing/2014/main" id="{9E798908-4DED-5D38-1258-1EDB16DC0433}"/>
            </a:ext>
          </a:extLst>
        </xdr:cNvPr>
        <xdr:cNvGrpSpPr/>
      </xdr:nvGrpSpPr>
      <xdr:grpSpPr>
        <a:xfrm>
          <a:off x="10759141" y="1017492"/>
          <a:ext cx="1296894" cy="850154"/>
          <a:chOff x="9294906" y="823257"/>
          <a:chExt cx="1296894" cy="850154"/>
        </a:xfrm>
      </xdr:grpSpPr>
      <xdr:sp macro="" textlink="">
        <xdr:nvSpPr>
          <xdr:cNvPr id="33" name="Rectangle: Diagonal Corners Rounded 32">
            <a:extLst>
              <a:ext uri="{FF2B5EF4-FFF2-40B4-BE49-F238E27FC236}">
                <a16:creationId xmlns:a16="http://schemas.microsoft.com/office/drawing/2014/main" id="{DAEE9FE7-22A8-2241-6FA8-CA7FF36291FB}"/>
              </a:ext>
            </a:extLst>
          </xdr:cNvPr>
          <xdr:cNvSpPr/>
        </xdr:nvSpPr>
        <xdr:spPr>
          <a:xfrm>
            <a:off x="9294906" y="823257"/>
            <a:ext cx="1296894" cy="803836"/>
          </a:xfrm>
          <a:prstGeom prst="round2DiagRect">
            <a:avLst>
              <a:gd name="adj1" fmla="val 4357"/>
              <a:gd name="adj2" fmla="val 0"/>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a:effectLst>
            <a:outerShdw blurRad="50800" dist="38100" dir="10800000" algn="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TextBox 7">
            <a:extLst>
              <a:ext uri="{FF2B5EF4-FFF2-40B4-BE49-F238E27FC236}">
                <a16:creationId xmlns:a16="http://schemas.microsoft.com/office/drawing/2014/main" id="{87586037-41E6-DF43-F54E-24693ABB4D54}"/>
              </a:ext>
            </a:extLst>
          </xdr:cNvPr>
          <xdr:cNvSpPr txBox="1"/>
        </xdr:nvSpPr>
        <xdr:spPr>
          <a:xfrm>
            <a:off x="9536929" y="935316"/>
            <a:ext cx="974190"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Variance</a:t>
            </a:r>
          </a:p>
        </xdr:txBody>
      </xdr:sp>
      <xdr:sp macro="" textlink="' Analysis 2 '!R7">
        <xdr:nvSpPr>
          <xdr:cNvPr id="12" name="TextBox 11">
            <a:extLst>
              <a:ext uri="{FF2B5EF4-FFF2-40B4-BE49-F238E27FC236}">
                <a16:creationId xmlns:a16="http://schemas.microsoft.com/office/drawing/2014/main" id="{A0FAC599-CF90-6072-E2BB-B6CA191BF5E1}"/>
              </a:ext>
            </a:extLst>
          </xdr:cNvPr>
          <xdr:cNvSpPr txBox="1"/>
        </xdr:nvSpPr>
        <xdr:spPr>
          <a:xfrm>
            <a:off x="9409629" y="1226668"/>
            <a:ext cx="1176195" cy="446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2D2903-3228-499B-9BCC-381F07145080}" type="TxLink">
              <a:rPr lang="en-US" sz="1800" b="0" i="0" u="none" strike="noStrike">
                <a:solidFill>
                  <a:srgbClr val="000000"/>
                </a:solidFill>
                <a:latin typeface="Calibri"/>
                <a:ea typeface="Calibri"/>
                <a:cs typeface="Calibri"/>
              </a:rPr>
              <a:pPr marL="0" indent="0"/>
              <a:t>▲-12.4%</a:t>
            </a:fld>
            <a:endParaRPr lang="en-US" sz="1800" b="0" i="0" u="none" strike="noStrike">
              <a:solidFill>
                <a:srgbClr val="000000"/>
              </a:solidFill>
              <a:latin typeface="Calibri"/>
              <a:ea typeface="Calibri"/>
              <a:cs typeface="Calibri"/>
            </a:endParaRPr>
          </a:p>
        </xdr:txBody>
      </xdr:sp>
    </xdr:grpSp>
    <xdr:clientData/>
  </xdr:twoCellAnchor>
  <xdr:twoCellAnchor>
    <xdr:from>
      <xdr:col>7</xdr:col>
      <xdr:colOff>2040340</xdr:colOff>
      <xdr:row>10</xdr:row>
      <xdr:rowOff>19423</xdr:rowOff>
    </xdr:from>
    <xdr:to>
      <xdr:col>11</xdr:col>
      <xdr:colOff>74705</xdr:colOff>
      <xdr:row>11</xdr:row>
      <xdr:rowOff>109070</xdr:rowOff>
    </xdr:to>
    <xdr:sp macro="" textlink="">
      <xdr:nvSpPr>
        <xdr:cNvPr id="24" name="TextBox 23">
          <a:extLst>
            <a:ext uri="{FF2B5EF4-FFF2-40B4-BE49-F238E27FC236}">
              <a16:creationId xmlns:a16="http://schemas.microsoft.com/office/drawing/2014/main" id="{4D3E2C12-7533-4844-CFBB-614FE8035991}"/>
            </a:ext>
          </a:extLst>
        </xdr:cNvPr>
        <xdr:cNvSpPr txBox="1"/>
      </xdr:nvSpPr>
      <xdr:spPr>
        <a:xfrm>
          <a:off x="6328458" y="1812364"/>
          <a:ext cx="3278718"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a:t>
          </a:r>
          <a:r>
            <a:rPr lang="en-US" sz="1400" baseline="0"/>
            <a:t> Revenue and Total Target by Month</a:t>
          </a:r>
          <a:endParaRPr lang="en-US" sz="1400"/>
        </a:p>
      </xdr:txBody>
    </xdr:sp>
    <xdr:clientData/>
  </xdr:twoCellAnchor>
  <xdr:twoCellAnchor>
    <xdr:from>
      <xdr:col>6</xdr:col>
      <xdr:colOff>74706</xdr:colOff>
      <xdr:row>4</xdr:row>
      <xdr:rowOff>159869</xdr:rowOff>
    </xdr:from>
    <xdr:to>
      <xdr:col>7</xdr:col>
      <xdr:colOff>1845235</xdr:colOff>
      <xdr:row>16</xdr:row>
      <xdr:rowOff>104588</xdr:rowOff>
    </xdr:to>
    <xdr:sp macro="" textlink="">
      <xdr:nvSpPr>
        <xdr:cNvPr id="35" name="Rectangle: Diagonal Corners Rounded 34">
          <a:extLst>
            <a:ext uri="{FF2B5EF4-FFF2-40B4-BE49-F238E27FC236}">
              <a16:creationId xmlns:a16="http://schemas.microsoft.com/office/drawing/2014/main" id="{8B926F80-7BC8-9A2B-E778-7C9B2D14333B}"/>
            </a:ext>
          </a:extLst>
        </xdr:cNvPr>
        <xdr:cNvSpPr/>
      </xdr:nvSpPr>
      <xdr:spPr>
        <a:xfrm>
          <a:off x="3750235" y="877045"/>
          <a:ext cx="2383118" cy="2096249"/>
        </a:xfrm>
        <a:prstGeom prst="round2DiagRect">
          <a:avLst>
            <a:gd name="adj1" fmla="val 4357"/>
            <a:gd name="adj2" fmla="val 0"/>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a:effectLst>
          <a:outerShdw blurRad="50800" dist="38100" dir="10800000" algn="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122518</xdr:colOff>
      <xdr:row>6</xdr:row>
      <xdr:rowOff>32868</xdr:rowOff>
    </xdr:from>
    <xdr:to>
      <xdr:col>7</xdr:col>
      <xdr:colOff>2465294</xdr:colOff>
      <xdr:row>16</xdr:row>
      <xdr:rowOff>29881</xdr:rowOff>
    </xdr:to>
    <xdr:graphicFrame macro="">
      <xdr:nvGraphicFramePr>
        <xdr:cNvPr id="38" name="Chart 37">
          <a:extLst>
            <a:ext uri="{FF2B5EF4-FFF2-40B4-BE49-F238E27FC236}">
              <a16:creationId xmlns:a16="http://schemas.microsoft.com/office/drawing/2014/main" id="{79130589-2BDF-44D1-A47F-B5B353183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508000</xdr:colOff>
      <xdr:row>6</xdr:row>
      <xdr:rowOff>67236</xdr:rowOff>
    </xdr:from>
    <xdr:to>
      <xdr:col>6</xdr:col>
      <xdr:colOff>522942</xdr:colOff>
      <xdr:row>16</xdr:row>
      <xdr:rowOff>74707</xdr:rowOff>
    </xdr:to>
    <xdr:graphicFrame macro="">
      <xdr:nvGraphicFramePr>
        <xdr:cNvPr id="39" name="Chart 38">
          <a:extLst>
            <a:ext uri="{FF2B5EF4-FFF2-40B4-BE49-F238E27FC236}">
              <a16:creationId xmlns:a16="http://schemas.microsoft.com/office/drawing/2014/main" id="{E1BA2CB1-C5B6-480E-A167-8308CC360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30753</xdr:colOff>
      <xdr:row>4</xdr:row>
      <xdr:rowOff>153893</xdr:rowOff>
    </xdr:from>
    <xdr:to>
      <xdr:col>6</xdr:col>
      <xdr:colOff>481107</xdr:colOff>
      <xdr:row>7</xdr:row>
      <xdr:rowOff>116538</xdr:rowOff>
    </xdr:to>
    <xdr:grpSp>
      <xdr:nvGrpSpPr>
        <xdr:cNvPr id="46" name="Group 45">
          <a:extLst>
            <a:ext uri="{FF2B5EF4-FFF2-40B4-BE49-F238E27FC236}">
              <a16:creationId xmlns:a16="http://schemas.microsoft.com/office/drawing/2014/main" id="{221CCE0D-AD7A-CFAA-D5B2-88EC0787EA04}"/>
            </a:ext>
          </a:extLst>
        </xdr:cNvPr>
        <xdr:cNvGrpSpPr/>
      </xdr:nvGrpSpPr>
      <xdr:grpSpPr>
        <a:xfrm>
          <a:off x="2481106" y="1035422"/>
          <a:ext cx="1675530" cy="500528"/>
          <a:chOff x="2481106" y="871069"/>
          <a:chExt cx="1675530" cy="500528"/>
        </a:xfrm>
      </xdr:grpSpPr>
      <xdr:sp macro="" textlink="">
        <xdr:nvSpPr>
          <xdr:cNvPr id="43" name="TextBox 42">
            <a:extLst>
              <a:ext uri="{FF2B5EF4-FFF2-40B4-BE49-F238E27FC236}">
                <a16:creationId xmlns:a16="http://schemas.microsoft.com/office/drawing/2014/main" id="{C9AAF7B0-FCF3-9942-D673-2F7BF3FD08C5}"/>
              </a:ext>
            </a:extLst>
          </xdr:cNvPr>
          <xdr:cNvSpPr txBox="1"/>
        </xdr:nvSpPr>
        <xdr:spPr>
          <a:xfrm>
            <a:off x="2481106" y="871069"/>
            <a:ext cx="132441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a:t>
            </a:r>
            <a:r>
              <a:rPr lang="en-US" sz="1400" baseline="0"/>
              <a:t> Revenue</a:t>
            </a:r>
            <a:endParaRPr lang="en-US" sz="1400"/>
          </a:p>
        </xdr:txBody>
      </xdr:sp>
      <xdr:sp macro="" textlink="">
        <xdr:nvSpPr>
          <xdr:cNvPr id="45" name="TextBox 44">
            <a:extLst>
              <a:ext uri="{FF2B5EF4-FFF2-40B4-BE49-F238E27FC236}">
                <a16:creationId xmlns:a16="http://schemas.microsoft.com/office/drawing/2014/main" id="{6CB070A7-8D9C-117F-E2F6-5F1032EDE270}"/>
              </a:ext>
            </a:extLst>
          </xdr:cNvPr>
          <xdr:cNvSpPr txBox="1"/>
        </xdr:nvSpPr>
        <xdr:spPr>
          <a:xfrm>
            <a:off x="2832224" y="1102656"/>
            <a:ext cx="132441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On</a:t>
            </a:r>
            <a:r>
              <a:rPr lang="en-US" sz="1000" baseline="0"/>
              <a:t> Weekday</a:t>
            </a:r>
            <a:endParaRPr lang="en-US" sz="1000"/>
          </a:p>
        </xdr:txBody>
      </xdr:sp>
    </xdr:grpSp>
    <xdr:clientData/>
  </xdr:twoCellAnchor>
  <xdr:twoCellAnchor>
    <xdr:from>
      <xdr:col>7</xdr:col>
      <xdr:colOff>616447</xdr:colOff>
      <xdr:row>4</xdr:row>
      <xdr:rowOff>149411</xdr:rowOff>
    </xdr:from>
    <xdr:to>
      <xdr:col>7</xdr:col>
      <xdr:colOff>2291977</xdr:colOff>
      <xdr:row>7</xdr:row>
      <xdr:rowOff>112056</xdr:rowOff>
    </xdr:to>
    <xdr:grpSp>
      <xdr:nvGrpSpPr>
        <xdr:cNvPr id="48" name="Group 47">
          <a:extLst>
            <a:ext uri="{FF2B5EF4-FFF2-40B4-BE49-F238E27FC236}">
              <a16:creationId xmlns:a16="http://schemas.microsoft.com/office/drawing/2014/main" id="{D7CCBCA2-10BB-8C78-E5B4-42911CB50928}"/>
            </a:ext>
          </a:extLst>
        </xdr:cNvPr>
        <xdr:cNvGrpSpPr/>
      </xdr:nvGrpSpPr>
      <xdr:grpSpPr>
        <a:xfrm>
          <a:off x="4904565" y="1030940"/>
          <a:ext cx="1675530" cy="500528"/>
          <a:chOff x="2481106" y="871069"/>
          <a:chExt cx="1675530" cy="500528"/>
        </a:xfrm>
      </xdr:grpSpPr>
      <xdr:sp macro="" textlink="">
        <xdr:nvSpPr>
          <xdr:cNvPr id="49" name="TextBox 48">
            <a:extLst>
              <a:ext uri="{FF2B5EF4-FFF2-40B4-BE49-F238E27FC236}">
                <a16:creationId xmlns:a16="http://schemas.microsoft.com/office/drawing/2014/main" id="{8BC63B83-F47A-781C-896A-B5D521DEEA46}"/>
              </a:ext>
            </a:extLst>
          </xdr:cNvPr>
          <xdr:cNvSpPr txBox="1"/>
        </xdr:nvSpPr>
        <xdr:spPr>
          <a:xfrm>
            <a:off x="2481106" y="871069"/>
            <a:ext cx="132441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a:t>
            </a:r>
            <a:r>
              <a:rPr lang="en-US" sz="1400" baseline="0"/>
              <a:t> Revenue</a:t>
            </a:r>
            <a:endParaRPr lang="en-US" sz="1400"/>
          </a:p>
        </xdr:txBody>
      </xdr:sp>
      <xdr:sp macro="" textlink="">
        <xdr:nvSpPr>
          <xdr:cNvPr id="50" name="TextBox 49">
            <a:extLst>
              <a:ext uri="{FF2B5EF4-FFF2-40B4-BE49-F238E27FC236}">
                <a16:creationId xmlns:a16="http://schemas.microsoft.com/office/drawing/2014/main" id="{3492B7C5-6A6E-93F2-8C60-6591D3687A54}"/>
              </a:ext>
            </a:extLst>
          </xdr:cNvPr>
          <xdr:cNvSpPr txBox="1"/>
        </xdr:nvSpPr>
        <xdr:spPr>
          <a:xfrm>
            <a:off x="2832224" y="1102656"/>
            <a:ext cx="132441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On</a:t>
            </a:r>
            <a:r>
              <a:rPr lang="en-US" sz="1000" baseline="0"/>
              <a:t> Weekend</a:t>
            </a:r>
            <a:endParaRPr lang="en-US" sz="1000"/>
          </a:p>
        </xdr:txBody>
      </xdr:sp>
    </xdr:grpSp>
    <xdr:clientData/>
  </xdr:twoCellAnchor>
  <xdr:twoCellAnchor>
    <xdr:from>
      <xdr:col>4</xdr:col>
      <xdr:colOff>8341</xdr:colOff>
      <xdr:row>10</xdr:row>
      <xdr:rowOff>168833</xdr:rowOff>
    </xdr:from>
    <xdr:to>
      <xdr:col>6</xdr:col>
      <xdr:colOff>107577</xdr:colOff>
      <xdr:row>12</xdr:row>
      <xdr:rowOff>79186</xdr:rowOff>
    </xdr:to>
    <xdr:sp macro="" textlink="' Analysis 2 '!W7">
      <xdr:nvSpPr>
        <xdr:cNvPr id="52" name="TextBox 51">
          <a:extLst>
            <a:ext uri="{FF2B5EF4-FFF2-40B4-BE49-F238E27FC236}">
              <a16:creationId xmlns:a16="http://schemas.microsoft.com/office/drawing/2014/main" id="{83378659-D860-D39E-FEB5-6E5D23B39A46}"/>
            </a:ext>
          </a:extLst>
        </xdr:cNvPr>
        <xdr:cNvSpPr txBox="1"/>
      </xdr:nvSpPr>
      <xdr:spPr>
        <a:xfrm>
          <a:off x="2458694" y="1961774"/>
          <a:ext cx="132441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350A51-1EA7-477A-9EBE-2A66F36BDE44}" type="TxLink">
            <a:rPr lang="en-US" sz="1100" b="0" i="0" u="none" strike="noStrike">
              <a:solidFill>
                <a:srgbClr val="000000"/>
              </a:solidFill>
              <a:latin typeface="Calibri"/>
              <a:ea typeface="Calibri"/>
              <a:cs typeface="Calibri"/>
            </a:rPr>
            <a:t>$3.9M</a:t>
          </a:fld>
          <a:endParaRPr lang="en-US" sz="1400"/>
        </a:p>
      </xdr:txBody>
    </xdr:sp>
    <xdr:clientData/>
  </xdr:twoCellAnchor>
  <xdr:twoCellAnchor>
    <xdr:from>
      <xdr:col>7</xdr:col>
      <xdr:colOff>874929</xdr:colOff>
      <xdr:row>11</xdr:row>
      <xdr:rowOff>19421</xdr:rowOff>
    </xdr:from>
    <xdr:to>
      <xdr:col>7</xdr:col>
      <xdr:colOff>2199341</xdr:colOff>
      <xdr:row>12</xdr:row>
      <xdr:rowOff>109068</xdr:rowOff>
    </xdr:to>
    <xdr:sp macro="" textlink="' Analysis 2 '!W8">
      <xdr:nvSpPr>
        <xdr:cNvPr id="53" name="TextBox 52">
          <a:extLst>
            <a:ext uri="{FF2B5EF4-FFF2-40B4-BE49-F238E27FC236}">
              <a16:creationId xmlns:a16="http://schemas.microsoft.com/office/drawing/2014/main" id="{00234A48-022D-48E5-0339-362618692F3E}"/>
            </a:ext>
          </a:extLst>
        </xdr:cNvPr>
        <xdr:cNvSpPr txBox="1"/>
      </xdr:nvSpPr>
      <xdr:spPr>
        <a:xfrm>
          <a:off x="5163047" y="1991656"/>
          <a:ext cx="132441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C035A5-B166-4FF8-9DF2-2DB01A271108}" type="TxLink">
            <a:rPr lang="en-US" sz="1100" b="0" i="0" u="none" strike="noStrike">
              <a:solidFill>
                <a:srgbClr val="000000"/>
              </a:solidFill>
              <a:latin typeface="Calibri"/>
              <a:ea typeface="Calibri"/>
              <a:cs typeface="Calibri"/>
            </a:rPr>
            <a:t>$1.6M</a:t>
          </a:fld>
          <a:endParaRPr lang="en-US" sz="1400"/>
        </a:p>
      </xdr:txBody>
    </xdr:sp>
    <xdr:clientData/>
  </xdr:twoCellAnchor>
  <xdr:twoCellAnchor>
    <xdr:from>
      <xdr:col>0</xdr:col>
      <xdr:colOff>0</xdr:colOff>
      <xdr:row>0</xdr:row>
      <xdr:rowOff>89647</xdr:rowOff>
    </xdr:from>
    <xdr:to>
      <xdr:col>1</xdr:col>
      <xdr:colOff>7471</xdr:colOff>
      <xdr:row>5</xdr:row>
      <xdr:rowOff>22411</xdr:rowOff>
    </xdr:to>
    <xdr:sp macro="" textlink="">
      <xdr:nvSpPr>
        <xdr:cNvPr id="59" name="Rectangle 58">
          <a:extLst>
            <a:ext uri="{FF2B5EF4-FFF2-40B4-BE49-F238E27FC236}">
              <a16:creationId xmlns:a16="http://schemas.microsoft.com/office/drawing/2014/main" id="{99C06BFA-6CF4-8461-C920-55F7721EB071}"/>
            </a:ext>
          </a:extLst>
        </xdr:cNvPr>
        <xdr:cNvSpPr/>
      </xdr:nvSpPr>
      <xdr:spPr>
        <a:xfrm>
          <a:off x="0" y="89647"/>
          <a:ext cx="620059" cy="99358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14942</xdr:colOff>
      <xdr:row>1</xdr:row>
      <xdr:rowOff>7471</xdr:rowOff>
    </xdr:from>
    <xdr:to>
      <xdr:col>7</xdr:col>
      <xdr:colOff>522941</xdr:colOff>
      <xdr:row>4</xdr:row>
      <xdr:rowOff>14942</xdr:rowOff>
    </xdr:to>
    <xdr:sp macro="" textlink="">
      <xdr:nvSpPr>
        <xdr:cNvPr id="60" name="TextBox 59">
          <a:extLst>
            <a:ext uri="{FF2B5EF4-FFF2-40B4-BE49-F238E27FC236}">
              <a16:creationId xmlns:a16="http://schemas.microsoft.com/office/drawing/2014/main" id="{DF6246E2-C5C3-E535-C4E1-A95F4542F5CF}"/>
            </a:ext>
          </a:extLst>
        </xdr:cNvPr>
        <xdr:cNvSpPr txBox="1"/>
      </xdr:nvSpPr>
      <xdr:spPr>
        <a:xfrm>
          <a:off x="1240118" y="186765"/>
          <a:ext cx="3570941" cy="709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KIx Business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41936</xdr:colOff>
      <xdr:row>17</xdr:row>
      <xdr:rowOff>38802</xdr:rowOff>
    </xdr:from>
    <xdr:to>
      <xdr:col>5</xdr:col>
      <xdr:colOff>538155</xdr:colOff>
      <xdr:row>20</xdr:row>
      <xdr:rowOff>133810</xdr:rowOff>
    </xdr:to>
    <xdr:sp macro="" textlink="">
      <xdr:nvSpPr>
        <xdr:cNvPr id="13" name="Rectangle: Diagonal Corners Rounded 12">
          <a:extLst>
            <a:ext uri="{FF2B5EF4-FFF2-40B4-BE49-F238E27FC236}">
              <a16:creationId xmlns:a16="http://schemas.microsoft.com/office/drawing/2014/main" id="{64E90BB5-6C53-C8D6-B3F6-57DB8F6E161B}"/>
            </a:ext>
          </a:extLst>
        </xdr:cNvPr>
        <xdr:cNvSpPr/>
      </xdr:nvSpPr>
      <xdr:spPr>
        <a:xfrm>
          <a:off x="1865872" y="3208398"/>
          <a:ext cx="1712177" cy="654348"/>
        </a:xfrm>
        <a:prstGeom prst="round2DiagRect">
          <a:avLst>
            <a:gd name="adj1" fmla="val 4357"/>
            <a:gd name="adj2" fmla="val 0"/>
          </a:avLst>
        </a:prstGeom>
        <a:solidFill>
          <a:schemeClr val="bg1">
            <a:lumMod val="95000"/>
          </a:schemeClr>
        </a:solidFill>
        <a:ln>
          <a:noFill/>
        </a:ln>
        <a:effectLst>
          <a:outerShdw blurRad="63500" sx="102000" sy="102000" algn="ctr" rotWithShape="0">
            <a:schemeClr val="bg1">
              <a:lumMod val="85000"/>
              <a:alpha val="39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11456</xdr:colOff>
      <xdr:row>21</xdr:row>
      <xdr:rowOff>143969</xdr:rowOff>
    </xdr:from>
    <xdr:to>
      <xdr:col>5</xdr:col>
      <xdr:colOff>538155</xdr:colOff>
      <xdr:row>25</xdr:row>
      <xdr:rowOff>69283</xdr:rowOff>
    </xdr:to>
    <xdr:sp macro="" textlink="">
      <xdr:nvSpPr>
        <xdr:cNvPr id="14" name="Rectangle: Diagonal Corners Rounded 13">
          <a:extLst>
            <a:ext uri="{FF2B5EF4-FFF2-40B4-BE49-F238E27FC236}">
              <a16:creationId xmlns:a16="http://schemas.microsoft.com/office/drawing/2014/main" id="{0CD138DE-9151-E814-ABD1-DAD85D23AE46}"/>
            </a:ext>
          </a:extLst>
        </xdr:cNvPr>
        <xdr:cNvSpPr/>
      </xdr:nvSpPr>
      <xdr:spPr>
        <a:xfrm>
          <a:off x="1835392" y="4059352"/>
          <a:ext cx="1742657" cy="671101"/>
        </a:xfrm>
        <a:prstGeom prst="round2DiagRect">
          <a:avLst>
            <a:gd name="adj1" fmla="val 4357"/>
            <a:gd name="adj2" fmla="val 0"/>
          </a:avLst>
        </a:prstGeom>
        <a:solidFill>
          <a:schemeClr val="bg1">
            <a:lumMod val="95000"/>
          </a:schemeClr>
        </a:solidFill>
        <a:ln>
          <a:noFill/>
        </a:ln>
        <a:effectLst>
          <a:outerShdw blurRad="63500" sx="102000" sy="102000" algn="ctr" rotWithShape="0">
            <a:schemeClr val="bg1">
              <a:lumMod val="85000"/>
              <a:alpha val="39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560747</xdr:colOff>
      <xdr:row>26</xdr:row>
      <xdr:rowOff>69283</xdr:rowOff>
    </xdr:from>
    <xdr:to>
      <xdr:col>5</xdr:col>
      <xdr:colOff>459146</xdr:colOff>
      <xdr:row>29</xdr:row>
      <xdr:rowOff>174450</xdr:rowOff>
    </xdr:to>
    <xdr:sp macro="" textlink="">
      <xdr:nvSpPr>
        <xdr:cNvPr id="15" name="Rectangle: Diagonal Corners Rounded 14">
          <a:extLst>
            <a:ext uri="{FF2B5EF4-FFF2-40B4-BE49-F238E27FC236}">
              <a16:creationId xmlns:a16="http://schemas.microsoft.com/office/drawing/2014/main" id="{DD77ECA4-BD65-3EE7-FE7B-311960F04288}"/>
            </a:ext>
          </a:extLst>
        </xdr:cNvPr>
        <xdr:cNvSpPr/>
      </xdr:nvSpPr>
      <xdr:spPr>
        <a:xfrm>
          <a:off x="1776704" y="4916900"/>
          <a:ext cx="1722336" cy="664507"/>
        </a:xfrm>
        <a:prstGeom prst="round2DiagRect">
          <a:avLst>
            <a:gd name="adj1" fmla="val 4357"/>
            <a:gd name="adj2" fmla="val 0"/>
          </a:avLst>
        </a:prstGeom>
        <a:solidFill>
          <a:schemeClr val="bg1">
            <a:lumMod val="95000"/>
          </a:schemeClr>
        </a:solidFill>
        <a:ln>
          <a:noFill/>
        </a:ln>
        <a:effectLst>
          <a:outerShdw blurRad="63500" sx="102000" sy="102000" algn="ctr" rotWithShape="0">
            <a:schemeClr val="bg1">
              <a:lumMod val="85000"/>
              <a:alpha val="39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518808</xdr:colOff>
      <xdr:row>5</xdr:row>
      <xdr:rowOff>48637</xdr:rowOff>
    </xdr:from>
    <xdr:to>
      <xdr:col>18</xdr:col>
      <xdr:colOff>373439</xdr:colOff>
      <xdr:row>33</xdr:row>
      <xdr:rowOff>81489</xdr:rowOff>
    </xdr:to>
    <xdr:sp macro="" textlink="">
      <xdr:nvSpPr>
        <xdr:cNvPr id="5" name="Rectangle: Diagonal Corners Rounded 4">
          <a:extLst>
            <a:ext uri="{FF2B5EF4-FFF2-40B4-BE49-F238E27FC236}">
              <a16:creationId xmlns:a16="http://schemas.microsoft.com/office/drawing/2014/main" id="{CF7471FD-FC25-2A41-8E5B-F9484093EB63}"/>
            </a:ext>
          </a:extLst>
        </xdr:cNvPr>
        <xdr:cNvSpPr/>
      </xdr:nvSpPr>
      <xdr:spPr>
        <a:xfrm>
          <a:off x="1126787" y="980871"/>
          <a:ext cx="12986971" cy="5253363"/>
        </a:xfrm>
        <a:prstGeom prst="round2DiagRect">
          <a:avLst>
            <a:gd name="adj1" fmla="val 435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518809</xdr:colOff>
      <xdr:row>0</xdr:row>
      <xdr:rowOff>96714</xdr:rowOff>
    </xdr:from>
    <xdr:to>
      <xdr:col>18</xdr:col>
      <xdr:colOff>356681</xdr:colOff>
      <xdr:row>4</xdr:row>
      <xdr:rowOff>98475</xdr:rowOff>
    </xdr:to>
    <xdr:sp macro="" textlink="">
      <xdr:nvSpPr>
        <xdr:cNvPr id="4" name="Rectangle: Rounded Corners 3">
          <a:extLst>
            <a:ext uri="{FF2B5EF4-FFF2-40B4-BE49-F238E27FC236}">
              <a16:creationId xmlns:a16="http://schemas.microsoft.com/office/drawing/2014/main" id="{04E24162-2F68-48EE-63C3-77DBF351D3A7}"/>
            </a:ext>
          </a:extLst>
        </xdr:cNvPr>
        <xdr:cNvSpPr/>
      </xdr:nvSpPr>
      <xdr:spPr>
        <a:xfrm>
          <a:off x="1126788" y="96714"/>
          <a:ext cx="12970212" cy="747548"/>
        </a:xfrm>
        <a:prstGeom prst="roundRect">
          <a:avLst/>
        </a:prstGeom>
        <a:gradFill flip="none" rotWithShape="1">
          <a:gsLst>
            <a:gs pos="0">
              <a:schemeClr val="bg1">
                <a:lumMod val="95000"/>
                <a:alpha val="50000"/>
              </a:schemeClr>
            </a:gs>
            <a:gs pos="56000">
              <a:schemeClr val="bg1">
                <a:alpha val="52000"/>
              </a:schemeClr>
            </a:gs>
            <a:gs pos="100000">
              <a:schemeClr val="bg1">
                <a:lumMod val="95000"/>
              </a:schemeClr>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7</xdr:col>
      <xdr:colOff>599872</xdr:colOff>
      <xdr:row>6</xdr:row>
      <xdr:rowOff>64849</xdr:rowOff>
    </xdr:from>
    <xdr:to>
      <xdr:col>18</xdr:col>
      <xdr:colOff>8105</xdr:colOff>
      <xdr:row>32</xdr:row>
      <xdr:rowOff>24319</xdr:rowOff>
    </xdr:to>
    <xdr:sp macro="" textlink="">
      <xdr:nvSpPr>
        <xdr:cNvPr id="6" name="Rectangle: Diagonal Corners Rounded 5">
          <a:extLst>
            <a:ext uri="{FF2B5EF4-FFF2-40B4-BE49-F238E27FC236}">
              <a16:creationId xmlns:a16="http://schemas.microsoft.com/office/drawing/2014/main" id="{697BC2E5-7305-3053-6639-0A3787A749A5}"/>
            </a:ext>
          </a:extLst>
        </xdr:cNvPr>
        <xdr:cNvSpPr/>
      </xdr:nvSpPr>
      <xdr:spPr>
        <a:xfrm>
          <a:off x="4855723" y="1183530"/>
          <a:ext cx="8892701" cy="4807087"/>
        </a:xfrm>
        <a:prstGeom prst="round2DiagRect">
          <a:avLst>
            <a:gd name="adj1" fmla="val 4357"/>
            <a:gd name="adj2" fmla="val 0"/>
          </a:avLst>
        </a:prstGeom>
        <a:solidFill>
          <a:schemeClr val="bg1"/>
        </a:solidFill>
        <a:ln>
          <a:noFill/>
        </a:ln>
        <a:effectLst>
          <a:outerShdw blurRad="63500" sx="102000" sy="102000" algn="ctr" rotWithShape="0">
            <a:schemeClr val="bg1">
              <a:lumMod val="85000"/>
              <a:alpha val="39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1037616</xdr:colOff>
      <xdr:row>7</xdr:row>
      <xdr:rowOff>89056</xdr:rowOff>
    </xdr:from>
    <xdr:to>
      <xdr:col>17</xdr:col>
      <xdr:colOff>207949</xdr:colOff>
      <xdr:row>30</xdr:row>
      <xdr:rowOff>137810</xdr:rowOff>
    </xdr:to>
    <xdr:sp macro="" textlink="">
      <xdr:nvSpPr>
        <xdr:cNvPr id="8" name="Rectangle: Diagonal Corners Rounded 7">
          <a:extLst>
            <a:ext uri="{FF2B5EF4-FFF2-40B4-BE49-F238E27FC236}">
              <a16:creationId xmlns:a16="http://schemas.microsoft.com/office/drawing/2014/main" id="{08A74EE7-998F-64B1-C2D4-1534AFC35638}"/>
            </a:ext>
          </a:extLst>
        </xdr:cNvPr>
        <xdr:cNvSpPr/>
      </xdr:nvSpPr>
      <xdr:spPr>
        <a:xfrm>
          <a:off x="5293467" y="1394184"/>
          <a:ext cx="8046822" cy="4337030"/>
        </a:xfrm>
        <a:prstGeom prst="round2DiagRect">
          <a:avLst>
            <a:gd name="adj1" fmla="val 4357"/>
            <a:gd name="adj2" fmla="val 15694"/>
          </a:avLst>
        </a:prstGeom>
        <a:solidFill>
          <a:schemeClr val="bg1"/>
        </a:solidFill>
        <a:ln>
          <a:noFill/>
        </a:ln>
        <a:effectLst>
          <a:outerShdw blurRad="63500" sx="102000" sy="102000" algn="ctr" rotWithShape="0">
            <a:schemeClr val="bg1">
              <a:lumMod val="85000"/>
              <a:alpha val="39000"/>
            </a:scheme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7</xdr:col>
      <xdr:colOff>1580744</xdr:colOff>
      <xdr:row>8</xdr:row>
      <xdr:rowOff>105683</xdr:rowOff>
    </xdr:from>
    <xdr:to>
      <xdr:col>16</xdr:col>
      <xdr:colOff>275699</xdr:colOff>
      <xdr:row>30</xdr:row>
      <xdr:rowOff>48639</xdr:rowOff>
    </xdr:to>
    <mc:AlternateContent xmlns:mc="http://schemas.openxmlformats.org/markup-compatibility/2006">
      <mc:Choice xmlns:we="http://schemas.microsoft.com/office/webextensions/webextension/2010/11" Requires="we">
        <xdr:graphicFrame macro="">
          <xdr:nvGraphicFramePr>
            <xdr:cNvPr id="10" name="Add-in 9" title="Zebra BI Tables for Office">
              <a:extLst>
                <a:ext uri="{FF2B5EF4-FFF2-40B4-BE49-F238E27FC236}">
                  <a16:creationId xmlns:a16="http://schemas.microsoft.com/office/drawing/2014/main" id="{D675F613-71D9-4023-83E2-3B5CE685A40C}"/>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10" name="Add-in 9" title="Zebra BI Tables for Office">
              <a:extLst>
                <a:ext uri="{FF2B5EF4-FFF2-40B4-BE49-F238E27FC236}">
                  <a16:creationId xmlns:a16="http://schemas.microsoft.com/office/drawing/2014/main" id="{D675F613-71D9-4023-83E2-3B5CE685A40C}"/>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editAs="oneCell">
    <xdr:from>
      <xdr:col>1</xdr:col>
      <xdr:colOff>593819</xdr:colOff>
      <xdr:row>5</xdr:row>
      <xdr:rowOff>123865</xdr:rowOff>
    </xdr:from>
    <xdr:to>
      <xdr:col>6</xdr:col>
      <xdr:colOff>494489</xdr:colOff>
      <xdr:row>16</xdr:row>
      <xdr:rowOff>32426</xdr:rowOff>
    </xdr:to>
    <mc:AlternateContent xmlns:mc="http://schemas.openxmlformats.org/markup-compatibility/2006">
      <mc:Choice xmlns:a14="http://schemas.microsoft.com/office/drawing/2010/main" Requires="a14">
        <xdr:graphicFrame macro="">
          <xdr:nvGraphicFramePr>
            <xdr:cNvPr id="12" name="Month Name 1">
              <a:extLst>
                <a:ext uri="{FF2B5EF4-FFF2-40B4-BE49-F238E27FC236}">
                  <a16:creationId xmlns:a16="http://schemas.microsoft.com/office/drawing/2014/main" id="{90CCEC66-9A3A-46D0-A2CE-8515670523B7}"/>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1201798" y="1193908"/>
              <a:ext cx="2940563" cy="1959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526915</xdr:colOff>
      <xdr:row>17</xdr:row>
      <xdr:rowOff>81063</xdr:rowOff>
    </xdr:from>
    <xdr:to>
      <xdr:col>6</xdr:col>
      <xdr:colOff>314170</xdr:colOff>
      <xdr:row>21</xdr:row>
      <xdr:rowOff>24319</xdr:rowOff>
    </xdr:to>
    <xdr:grpSp>
      <xdr:nvGrpSpPr>
        <xdr:cNvPr id="3" name="Group 2">
          <a:extLst>
            <a:ext uri="{FF2B5EF4-FFF2-40B4-BE49-F238E27FC236}">
              <a16:creationId xmlns:a16="http://schemas.microsoft.com/office/drawing/2014/main" id="{5E79A430-CF37-8CAB-D61F-C58F27621DBC}"/>
            </a:ext>
          </a:extLst>
        </xdr:cNvPr>
        <xdr:cNvGrpSpPr/>
      </xdr:nvGrpSpPr>
      <xdr:grpSpPr>
        <a:xfrm>
          <a:off x="1134894" y="3388467"/>
          <a:ext cx="2827148" cy="689043"/>
          <a:chOff x="1134894" y="3250659"/>
          <a:chExt cx="2827148" cy="689043"/>
        </a:xfrm>
      </xdr:grpSpPr>
      <xdr:sp macro="" textlink="">
        <xdr:nvSpPr>
          <xdr:cNvPr id="2" name="Rectangle: Rounded Corners 1">
            <a:extLst>
              <a:ext uri="{FF2B5EF4-FFF2-40B4-BE49-F238E27FC236}">
                <a16:creationId xmlns:a16="http://schemas.microsoft.com/office/drawing/2014/main" id="{C9F33D77-96CF-BE21-BF7E-C2A235033F67}"/>
              </a:ext>
            </a:extLst>
          </xdr:cNvPr>
          <xdr:cNvSpPr/>
        </xdr:nvSpPr>
        <xdr:spPr>
          <a:xfrm>
            <a:off x="1134894" y="3250659"/>
            <a:ext cx="2440021" cy="689043"/>
          </a:xfrm>
          <a:prstGeom prst="roundRect">
            <a:avLst/>
          </a:prstGeom>
          <a:solidFill>
            <a:schemeClr val="bg1">
              <a:lumMod val="95000"/>
            </a:schemeClr>
          </a:solidFill>
          <a:ln>
            <a:noFill/>
          </a:ln>
          <a:effectLst>
            <a:outerShdw blurRad="63500" sx="102000" sy="102000" algn="ct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1AF2D359-5902-FEBA-9BF3-4C917CE436BB}"/>
              </a:ext>
            </a:extLst>
          </xdr:cNvPr>
          <xdr:cNvSpPr txBox="1"/>
        </xdr:nvSpPr>
        <xdr:spPr>
          <a:xfrm>
            <a:off x="1181695" y="3411057"/>
            <a:ext cx="1363709" cy="281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a:t>
            </a:r>
            <a:r>
              <a:rPr lang="en-US" sz="1400" baseline="0"/>
              <a:t> Revenue</a:t>
            </a:r>
            <a:endParaRPr lang="en-US" sz="1400"/>
          </a:p>
        </xdr:txBody>
      </xdr:sp>
      <xdr:sp macro="" textlink="'analysis 1'!B5">
        <xdr:nvSpPr>
          <xdr:cNvPr id="22" name="TextBox 21">
            <a:extLst>
              <a:ext uri="{FF2B5EF4-FFF2-40B4-BE49-F238E27FC236}">
                <a16:creationId xmlns:a16="http://schemas.microsoft.com/office/drawing/2014/main" id="{7F172476-98EF-4146-8880-F6FD5CFC9854}"/>
              </a:ext>
            </a:extLst>
          </xdr:cNvPr>
          <xdr:cNvSpPr txBox="1"/>
        </xdr:nvSpPr>
        <xdr:spPr>
          <a:xfrm>
            <a:off x="2817204" y="3433238"/>
            <a:ext cx="1144838" cy="281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35AF9F-8249-4975-A739-CDFBB4B8259E}" type="TxLink">
              <a:rPr lang="en-US" sz="1100" b="0" i="0" u="none" strike="noStrike">
                <a:solidFill>
                  <a:srgbClr val="000000"/>
                </a:solidFill>
                <a:latin typeface="Calibri"/>
                <a:ea typeface="Calibri"/>
                <a:cs typeface="Calibri"/>
              </a:rPr>
              <a:pPr/>
              <a:t>$5.4M</a:t>
            </a:fld>
            <a:endParaRPr lang="en-US" sz="1100"/>
          </a:p>
        </xdr:txBody>
      </xdr:sp>
    </xdr:grpSp>
    <xdr:clientData/>
  </xdr:twoCellAnchor>
  <xdr:twoCellAnchor>
    <xdr:from>
      <xdr:col>1</xdr:col>
      <xdr:colOff>549614</xdr:colOff>
      <xdr:row>22</xdr:row>
      <xdr:rowOff>6485</xdr:rowOff>
    </xdr:from>
    <xdr:to>
      <xdr:col>5</xdr:col>
      <xdr:colOff>557720</xdr:colOff>
      <xdr:row>25</xdr:row>
      <xdr:rowOff>136188</xdr:rowOff>
    </xdr:to>
    <xdr:sp macro="" textlink="">
      <xdr:nvSpPr>
        <xdr:cNvPr id="9" name="Rectangle: Rounded Corners 8">
          <a:extLst>
            <a:ext uri="{FF2B5EF4-FFF2-40B4-BE49-F238E27FC236}">
              <a16:creationId xmlns:a16="http://schemas.microsoft.com/office/drawing/2014/main" id="{AA374E9B-F6BB-95FE-9C1F-BFF7081DCF7F}"/>
            </a:ext>
          </a:extLst>
        </xdr:cNvPr>
        <xdr:cNvSpPr/>
      </xdr:nvSpPr>
      <xdr:spPr>
        <a:xfrm>
          <a:off x="1157593" y="4108315"/>
          <a:ext cx="2440021" cy="689043"/>
        </a:xfrm>
        <a:prstGeom prst="roundRect">
          <a:avLst/>
        </a:prstGeom>
        <a:solidFill>
          <a:schemeClr val="bg1">
            <a:lumMod val="95000"/>
          </a:schemeClr>
        </a:solidFill>
        <a:ln>
          <a:noFill/>
        </a:ln>
        <a:effectLst>
          <a:outerShdw blurRad="63500" sx="102000" sy="102000" algn="ct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8323</xdr:colOff>
      <xdr:row>23</xdr:row>
      <xdr:rowOff>22374</xdr:rowOff>
    </xdr:from>
    <xdr:to>
      <xdr:col>3</xdr:col>
      <xdr:colOff>545181</xdr:colOff>
      <xdr:row>24</xdr:row>
      <xdr:rowOff>113815</xdr:rowOff>
    </xdr:to>
    <xdr:sp macro="" textlink="">
      <xdr:nvSpPr>
        <xdr:cNvPr id="19" name="TextBox 18">
          <a:extLst>
            <a:ext uri="{FF2B5EF4-FFF2-40B4-BE49-F238E27FC236}">
              <a16:creationId xmlns:a16="http://schemas.microsoft.com/office/drawing/2014/main" id="{9A5FE2EF-4CAC-0D23-1F22-9BAAC85CF3A4}"/>
            </a:ext>
          </a:extLst>
        </xdr:cNvPr>
        <xdr:cNvSpPr txBox="1"/>
      </xdr:nvSpPr>
      <xdr:spPr>
        <a:xfrm>
          <a:off x="1224280" y="4310651"/>
          <a:ext cx="1144837" cy="277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dk1"/>
              </a:solidFill>
              <a:latin typeface="+mn-lt"/>
              <a:ea typeface="+mn-ea"/>
              <a:cs typeface="+mn-cs"/>
            </a:rPr>
            <a:t>Total Target</a:t>
          </a:r>
        </a:p>
      </xdr:txBody>
    </xdr:sp>
    <xdr:clientData/>
  </xdr:twoCellAnchor>
  <xdr:twoCellAnchor>
    <xdr:from>
      <xdr:col>4</xdr:col>
      <xdr:colOff>389107</xdr:colOff>
      <xdr:row>23</xdr:row>
      <xdr:rowOff>37601</xdr:rowOff>
    </xdr:from>
    <xdr:to>
      <xdr:col>6</xdr:col>
      <xdr:colOff>317988</xdr:colOff>
      <xdr:row>24</xdr:row>
      <xdr:rowOff>130647</xdr:rowOff>
    </xdr:to>
    <xdr:sp macro="" textlink="'analysis 1'!L5">
      <xdr:nvSpPr>
        <xdr:cNvPr id="23" name="TextBox 22">
          <a:extLst>
            <a:ext uri="{FF2B5EF4-FFF2-40B4-BE49-F238E27FC236}">
              <a16:creationId xmlns:a16="http://schemas.microsoft.com/office/drawing/2014/main" id="{4930998F-2543-1392-64B9-AB12F3663563}"/>
            </a:ext>
          </a:extLst>
        </xdr:cNvPr>
        <xdr:cNvSpPr txBox="1"/>
      </xdr:nvSpPr>
      <xdr:spPr>
        <a:xfrm>
          <a:off x="2821022" y="4325878"/>
          <a:ext cx="1144838" cy="279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1F4B6B-1544-4886-9938-523F58213138}" type="TxLink">
            <a:rPr lang="en-US" sz="1100" b="0" i="0" u="none" strike="noStrike">
              <a:solidFill>
                <a:srgbClr val="000000"/>
              </a:solidFill>
              <a:latin typeface="Calibri"/>
              <a:ea typeface="Calibri"/>
              <a:cs typeface="Calibri"/>
            </a:rPr>
            <a:t>$5.3M</a:t>
          </a:fld>
          <a:endParaRPr lang="en-US" sz="1100"/>
        </a:p>
      </xdr:txBody>
    </xdr:sp>
    <xdr:clientData/>
  </xdr:twoCellAnchor>
  <xdr:twoCellAnchor>
    <xdr:from>
      <xdr:col>1</xdr:col>
      <xdr:colOff>549613</xdr:colOff>
      <xdr:row>26</xdr:row>
      <xdr:rowOff>184825</xdr:rowOff>
    </xdr:from>
    <xdr:to>
      <xdr:col>5</xdr:col>
      <xdr:colOff>557719</xdr:colOff>
      <xdr:row>30</xdr:row>
      <xdr:rowOff>128081</xdr:rowOff>
    </xdr:to>
    <xdr:sp macro="" textlink="">
      <xdr:nvSpPr>
        <xdr:cNvPr id="21" name="Rectangle: Rounded Corners 20">
          <a:extLst>
            <a:ext uri="{FF2B5EF4-FFF2-40B4-BE49-F238E27FC236}">
              <a16:creationId xmlns:a16="http://schemas.microsoft.com/office/drawing/2014/main" id="{CA0B9C15-546C-056B-E3B5-96976846F5F2}"/>
            </a:ext>
          </a:extLst>
        </xdr:cNvPr>
        <xdr:cNvSpPr/>
      </xdr:nvSpPr>
      <xdr:spPr>
        <a:xfrm>
          <a:off x="1157592" y="5032442"/>
          <a:ext cx="2440021" cy="689043"/>
        </a:xfrm>
        <a:prstGeom prst="roundRect">
          <a:avLst/>
        </a:prstGeom>
        <a:solidFill>
          <a:schemeClr val="bg1">
            <a:lumMod val="95000"/>
          </a:schemeClr>
        </a:solidFill>
        <a:ln>
          <a:noFill/>
        </a:ln>
        <a:effectLst>
          <a:outerShdw blurRad="63500" sx="102000" sy="102000" algn="ctr"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557503</xdr:colOff>
      <xdr:row>28</xdr:row>
      <xdr:rowOff>20644</xdr:rowOff>
    </xdr:from>
    <xdr:to>
      <xdr:col>3</xdr:col>
      <xdr:colOff>486383</xdr:colOff>
      <xdr:row>29</xdr:row>
      <xdr:rowOff>115652</xdr:rowOff>
    </xdr:to>
    <xdr:sp macro="" textlink="">
      <xdr:nvSpPr>
        <xdr:cNvPr id="20" name="TextBox 19">
          <a:extLst>
            <a:ext uri="{FF2B5EF4-FFF2-40B4-BE49-F238E27FC236}">
              <a16:creationId xmlns:a16="http://schemas.microsoft.com/office/drawing/2014/main" id="{D5A32E17-FE1C-A342-9739-209D23CE54E3}"/>
            </a:ext>
          </a:extLst>
        </xdr:cNvPr>
        <xdr:cNvSpPr txBox="1"/>
      </xdr:nvSpPr>
      <xdr:spPr>
        <a:xfrm>
          <a:off x="1165482" y="5241155"/>
          <a:ext cx="1144837" cy="281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dk1"/>
              </a:solidFill>
              <a:latin typeface="+mn-lt"/>
              <a:ea typeface="+mn-ea"/>
              <a:cs typeface="+mn-cs"/>
            </a:rPr>
            <a:t>Variance %</a:t>
          </a:r>
        </a:p>
      </xdr:txBody>
    </xdr:sp>
    <xdr:clientData/>
  </xdr:twoCellAnchor>
  <mc:AlternateContent xmlns:mc="http://schemas.openxmlformats.org/markup-compatibility/2006">
    <mc:Choice xmlns:a14="http://schemas.microsoft.com/office/drawing/2010/main" Requires="a14">
      <xdr:twoCellAnchor>
        <xdr:from>
          <xdr:col>4</xdr:col>
          <xdr:colOff>441840</xdr:colOff>
          <xdr:row>28</xdr:row>
          <xdr:rowOff>64851</xdr:rowOff>
        </xdr:from>
        <xdr:to>
          <xdr:col>6</xdr:col>
          <xdr:colOff>39602</xdr:colOff>
          <xdr:row>29</xdr:row>
          <xdr:rowOff>72471</xdr:rowOff>
        </xdr:to>
        <xdr:pic>
          <xdr:nvPicPr>
            <xdr:cNvPr id="26" name="Picture 25">
              <a:extLst>
                <a:ext uri="{FF2B5EF4-FFF2-40B4-BE49-F238E27FC236}">
                  <a16:creationId xmlns:a16="http://schemas.microsoft.com/office/drawing/2014/main" id="{10AD4DF1-120A-4C8D-544F-0ED16448BB7F}"/>
                </a:ext>
              </a:extLst>
            </xdr:cNvPr>
            <xdr:cNvPicPr>
              <a:picLocks noChangeAspect="1" noChangeArrowheads="1"/>
              <a:extLst>
                <a:ext uri="{84589F7E-364E-4C9E-8A38-B11213B215E9}">
                  <a14:cameraTool cellRange="'analysis 1'!$G$16" spid="_x0000_s2090"/>
                </a:ext>
              </a:extLst>
            </xdr:cNvPicPr>
          </xdr:nvPicPr>
          <xdr:blipFill>
            <a:blip xmlns:r="http://schemas.openxmlformats.org/officeDocument/2006/relationships" r:embed="rId3"/>
            <a:srcRect/>
            <a:stretch>
              <a:fillRect/>
            </a:stretch>
          </xdr:blipFill>
          <xdr:spPr bwMode="auto">
            <a:xfrm>
              <a:off x="2873755" y="5285362"/>
              <a:ext cx="813719" cy="19406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518809</xdr:colOff>
      <xdr:row>0</xdr:row>
      <xdr:rowOff>96714</xdr:rowOff>
    </xdr:from>
    <xdr:to>
      <xdr:col>7</xdr:col>
      <xdr:colOff>441878</xdr:colOff>
      <xdr:row>3</xdr:row>
      <xdr:rowOff>109271</xdr:rowOff>
    </xdr:to>
    <xdr:sp macro="" textlink="">
      <xdr:nvSpPr>
        <xdr:cNvPr id="27" name="TextBox 26">
          <a:extLst>
            <a:ext uri="{FF2B5EF4-FFF2-40B4-BE49-F238E27FC236}">
              <a16:creationId xmlns:a16="http://schemas.microsoft.com/office/drawing/2014/main" id="{FE49EF3C-D038-45A3-963B-ECC0E569B0FF}"/>
            </a:ext>
          </a:extLst>
        </xdr:cNvPr>
        <xdr:cNvSpPr txBox="1"/>
      </xdr:nvSpPr>
      <xdr:spPr>
        <a:xfrm>
          <a:off x="1126788" y="96714"/>
          <a:ext cx="3570941" cy="709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KIx Business Dashboard</a:t>
          </a:r>
        </a:p>
      </xdr:txBody>
    </xdr:sp>
    <xdr:clientData/>
  </xdr:twoCellAnchor>
  <xdr:oneCellAnchor>
    <xdr:from>
      <xdr:col>4</xdr:col>
      <xdr:colOff>8106</xdr:colOff>
      <xdr:row>1</xdr:row>
      <xdr:rowOff>40532</xdr:rowOff>
    </xdr:from>
    <xdr:ext cx="184731" cy="264560"/>
    <xdr:sp macro="" textlink="">
      <xdr:nvSpPr>
        <xdr:cNvPr id="28" name="TextBox 27">
          <a:extLst>
            <a:ext uri="{FF2B5EF4-FFF2-40B4-BE49-F238E27FC236}">
              <a16:creationId xmlns:a16="http://schemas.microsoft.com/office/drawing/2014/main" id="{99141CF7-FD2C-1A21-C618-62497819C375}"/>
            </a:ext>
          </a:extLst>
        </xdr:cNvPr>
        <xdr:cNvSpPr txBox="1"/>
      </xdr:nvSpPr>
      <xdr:spPr>
        <a:xfrm>
          <a:off x="2440021" y="2269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32</xdr:row>
      <xdr:rowOff>68580</xdr:rowOff>
    </xdr:from>
    <xdr:to>
      <xdr:col>6</xdr:col>
      <xdr:colOff>358698</xdr:colOff>
      <xdr:row>47</xdr:row>
      <xdr:rowOff>68580</xdr:rowOff>
    </xdr:to>
    <xdr:graphicFrame macro="">
      <xdr:nvGraphicFramePr>
        <xdr:cNvPr id="2" name="Chart 1">
          <a:extLst>
            <a:ext uri="{FF2B5EF4-FFF2-40B4-BE49-F238E27FC236}">
              <a16:creationId xmlns:a16="http://schemas.microsoft.com/office/drawing/2014/main" id="{B38DAE33-5BBE-8F0D-9F83-4553272CC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297365</xdr:colOff>
      <xdr:row>19</xdr:row>
      <xdr:rowOff>3717</xdr:rowOff>
    </xdr:from>
    <xdr:to>
      <xdr:col>8</xdr:col>
      <xdr:colOff>548268</xdr:colOff>
      <xdr:row>33</xdr:row>
      <xdr:rowOff>144966</xdr:rowOff>
    </xdr:to>
    <xdr:graphicFrame macro="">
      <xdr:nvGraphicFramePr>
        <xdr:cNvPr id="3" name="Chart 2">
          <a:extLst>
            <a:ext uri="{FF2B5EF4-FFF2-40B4-BE49-F238E27FC236}">
              <a16:creationId xmlns:a16="http://schemas.microsoft.com/office/drawing/2014/main" id="{410D5C99-281F-E0A6-9A11-BA604A24B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269488</xdr:colOff>
      <xdr:row>23</xdr:row>
      <xdr:rowOff>68767</xdr:rowOff>
    </xdr:from>
    <xdr:to>
      <xdr:col>14</xdr:col>
      <xdr:colOff>418171</xdr:colOff>
      <xdr:row>38</xdr:row>
      <xdr:rowOff>24162</xdr:rowOff>
    </xdr:to>
    <xdr:graphicFrame macro="">
      <xdr:nvGraphicFramePr>
        <xdr:cNvPr id="4" name="Chart 3">
          <a:extLst>
            <a:ext uri="{FF2B5EF4-FFF2-40B4-BE49-F238E27FC236}">
              <a16:creationId xmlns:a16="http://schemas.microsoft.com/office/drawing/2014/main" id="{46B63F13-FB28-8278-BA39-740EE3381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627628</xdr:colOff>
      <xdr:row>51</xdr:row>
      <xdr:rowOff>166339</xdr:rowOff>
    </xdr:from>
    <xdr:to>
      <xdr:col>6</xdr:col>
      <xdr:colOff>477087</xdr:colOff>
      <xdr:row>65</xdr:row>
      <xdr:rowOff>31363</xdr:rowOff>
    </xdr:to>
    <mc:AlternateContent xmlns:mc="http://schemas.openxmlformats.org/markup-compatibility/2006" xmlns:a14="http://schemas.microsoft.com/office/drawing/2010/main">
      <mc:Choice Requires="a14">
        <xdr:graphicFrame macro="">
          <xdr:nvGraphicFramePr>
            <xdr:cNvPr id="5" name="Store Name">
              <a:extLst>
                <a:ext uri="{FF2B5EF4-FFF2-40B4-BE49-F238E27FC236}">
                  <a16:creationId xmlns:a16="http://schemas.microsoft.com/office/drawing/2014/main" id="{9F160420-A556-A4A5-4015-2DF8F780F7CA}"/>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3034433" y="964487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130097</xdr:colOff>
      <xdr:row>13</xdr:row>
      <xdr:rowOff>13009</xdr:rowOff>
    </xdr:from>
    <xdr:to>
      <xdr:col>20</xdr:col>
      <xdr:colOff>789878</xdr:colOff>
      <xdr:row>27</xdr:row>
      <xdr:rowOff>154258</xdr:rowOff>
    </xdr:to>
    <xdr:graphicFrame macro="">
      <xdr:nvGraphicFramePr>
        <xdr:cNvPr id="8" name="Chart 7">
          <a:extLst>
            <a:ext uri="{FF2B5EF4-FFF2-40B4-BE49-F238E27FC236}">
              <a16:creationId xmlns:a16="http://schemas.microsoft.com/office/drawing/2014/main" id="{3DC04BE7-7F3E-0EB7-F7D0-DDBC3A4D9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789878</xdr:colOff>
      <xdr:row>28</xdr:row>
      <xdr:rowOff>18586</xdr:rowOff>
    </xdr:from>
    <xdr:to>
      <xdr:col>21</xdr:col>
      <xdr:colOff>483220</xdr:colOff>
      <xdr:row>42</xdr:row>
      <xdr:rowOff>159834</xdr:rowOff>
    </xdr:to>
    <xdr:graphicFrame macro="">
      <xdr:nvGraphicFramePr>
        <xdr:cNvPr id="9" name="Chart 8">
          <a:extLst>
            <a:ext uri="{FF2B5EF4-FFF2-40B4-BE49-F238E27FC236}">
              <a16:creationId xmlns:a16="http://schemas.microsoft.com/office/drawing/2014/main" id="{2F2949CF-64C7-417F-8A45-79EFCAFFC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259080</xdr:colOff>
      <xdr:row>27</xdr:row>
      <xdr:rowOff>22860</xdr:rowOff>
    </xdr:from>
    <xdr:to>
      <xdr:col>9</xdr:col>
      <xdr:colOff>716280</xdr:colOff>
      <xdr:row>40</xdr:row>
      <xdr:rowOff>112395</xdr:rowOff>
    </xdr:to>
    <mc:AlternateContent xmlns:mc="http://schemas.openxmlformats.org/markup-compatibility/2006" xmlns:a14="http://schemas.microsoft.com/office/drawing/2010/main">
      <mc:Choice Requires="a14">
        <xdr:graphicFrame macro="">
          <xdr:nvGraphicFramePr>
            <xdr:cNvPr id="3" name="Month Name">
              <a:extLst>
                <a:ext uri="{FF2B5EF4-FFF2-40B4-BE49-F238E27FC236}">
                  <a16:creationId xmlns:a16="http://schemas.microsoft.com/office/drawing/2014/main" id="{E3518D4D-D917-D8ED-73F9-BFD2FC9E6FC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5715000" y="4960620"/>
              <a:ext cx="181356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852488657409" createdVersion="8" refreshedVersion="8" minRefreshableVersion="3" recordCount="0" supportSubquery="1" supportAdvancedDrill="1" xr:uid="{C3887E6B-8E71-40C3-B13F-D7BB9A044B05}">
  <cacheSource type="external" connectionId="8"/>
  <cacheFields count="3">
    <cacheField name="[Measures].[Total Revenue]" caption="Total Revenue" numFmtId="0" hierarchy="33" level="32767"/>
    <cacheField name="[products_table].[Category].[Category]" caption="Category" numFmtId="0" hierarchy="26" level="1">
      <sharedItems count="2">
        <s v="Alcoholic Beverage"/>
        <s v="Coffee"/>
      </sharedItems>
    </cacheField>
    <cacheField name="[Date].[WeekType].[WeekType]" caption="WeekType" numFmtId="0" hierarchy="7" level="1">
      <sharedItems count="2">
        <s v="Weekday"/>
        <s v="Weekend"/>
      </sharedItems>
    </cacheField>
  </cacheFields>
  <cacheHierarchies count="53">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2" memberValueDatatype="130" unbalanced="0">
      <fieldsUsage count="2">
        <fieldUsage x="-1"/>
        <fieldUsage x="2"/>
      </fieldsUsage>
    </cacheHierarchy>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1"/>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oneField="1">
      <fieldsUsage count="1">
        <fieldUsage x="0"/>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Profit Margin %]" caption="Profit Margin %" measure="1" displayFolder="" measureGroup="Calculations" count="0"/>
    <cacheHierarchy uniqueName="[Measures].[Transactions]" caption="Transactions" measure="1" displayFolder="" measureGroup="Calculations" count="0"/>
    <cacheHierarchy uniqueName="[Measures].[Total Refund]" caption="Total Refund" measure="1" displayFolder="" measureGroup="Calculations" count="0"/>
    <cacheHierarchy uniqueName="[Measures].[Refund Rate]" caption="Refund Rate" measure="1" displayFolder="" measureGroup="Calculations" count="0"/>
    <cacheHierarchy uniqueName="[Measures].[Products]" caption="Products" measure="1" displayFolder="" measureGroup="Calculations" count="0"/>
    <cacheHierarchy uniqueName="[Measures].[Total Qty Sold]" caption="Total Qty Sold" measure="1" displayFolder="" measureGroup="Calculations" count="0"/>
    <cacheHierarchy uniqueName="[Measures].[Total Qty Returned]" caption="Total Qty Returned" measure="1" displayFolder="" measureGroup="Calculations" count="0"/>
    <cacheHierarchy uniqueName="[Measures].[Total Target]" caption="Total Target" measure="1" displayFolder="" measureGroup="Calculations" count="0"/>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WeekType]" caption="Count of WeekType" measure="1" displayFolder="" measureGroup="Date" count="0" hidden="1">
      <extLst>
        <ext xmlns:x15="http://schemas.microsoft.com/office/spreadsheetml/2010/11/main" uri="{B97F6D7D-B522-45F9-BDA1-12C45D357490}">
          <x15:cacheHierarchy aggregatedColumn="7"/>
        </ext>
      </extLst>
    </cacheHierarchy>
  </cacheHierarchies>
  <kpis count="0"/>
  <dimensions count="8">
    <dimension name="Calculations" uniqueName="[Calculations]" caption="Calculations"/>
    <dimension name="Date" uniqueName="[Date]" caption="Date"/>
    <dimension name="Dim_customers" uniqueName="[Dim_customers]" caption="Dim_customer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Date" caption="Date"/>
    <measureGroup name="Dim_customers" caption="Dim_customers"/>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86787199074" createdVersion="8" refreshedVersion="8" minRefreshableVersion="3" recordCount="0" supportSubquery="1" supportAdvancedDrill="1" xr:uid="{5B70B1FC-6CFA-4C74-AB29-0D30F42C033A}">
  <cacheSource type="external" connectionId="8"/>
  <cacheFields count="2">
    <cacheField name="[Date].[WeekType].[WeekType]" caption="WeekType" numFmtId="0" hierarchy="7" level="1">
      <sharedItems count="2">
        <s v="Weekday"/>
        <s v="Weekend"/>
      </sharedItems>
    </cacheField>
    <cacheField name="[Measures].[Total Revenue]" caption="Total Revenue" numFmtId="0" hierarchy="33" level="32767"/>
  </cacheFields>
  <cacheHierarchies count="53">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2" memberValueDatatype="130" unbalanced="0">
      <fieldsUsage count="2">
        <fieldUsage x="-1"/>
        <fieldUsage x="0"/>
      </fieldsUsage>
    </cacheHierarchy>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oneField="1">
      <fieldsUsage count="1">
        <fieldUsage x="1"/>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Profit Margin %]" caption="Profit Margin %" measure="1" displayFolder="" measureGroup="Calculations" count="0"/>
    <cacheHierarchy uniqueName="[Measures].[Transactions]" caption="Transactions" measure="1" displayFolder="" measureGroup="Calculations" count="0"/>
    <cacheHierarchy uniqueName="[Measures].[Total Refund]" caption="Total Refund" measure="1" displayFolder="" measureGroup="Calculations" count="0"/>
    <cacheHierarchy uniqueName="[Measures].[Refund Rate]" caption="Refund Rate" measure="1" displayFolder="" measureGroup="Calculations" count="0"/>
    <cacheHierarchy uniqueName="[Measures].[Products]" caption="Products" measure="1" displayFolder="" measureGroup="Calculations" count="0"/>
    <cacheHierarchy uniqueName="[Measures].[Total Qty Sold]" caption="Total Qty Sold" measure="1" displayFolder="" measureGroup="Calculations" count="0"/>
    <cacheHierarchy uniqueName="[Measures].[Total Qty Returned]" caption="Total Qty Returned" measure="1" displayFolder="" measureGroup="Calculations" count="0"/>
    <cacheHierarchy uniqueName="[Measures].[Total Target]" caption="Total Target" measure="1" displayFolder="" measureGroup="Calculations" count="0"/>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WeekType]" caption="Count of WeekType" measure="1" displayFolder="" measureGroup="Date" count="0" hidden="1">
      <extLst>
        <ext xmlns:x15="http://schemas.microsoft.com/office/spreadsheetml/2010/11/main" uri="{B97F6D7D-B522-45F9-BDA1-12C45D357490}">
          <x15:cacheHierarchy aggregatedColumn="7"/>
        </ext>
      </extLst>
    </cacheHierarchy>
  </cacheHierarchies>
  <kpis count="0"/>
  <dimensions count="8">
    <dimension name="Calculations" uniqueName="[Calculations]" caption="Calculations"/>
    <dimension name="Date" uniqueName="[Date]" caption="Date"/>
    <dimension name="Dim_customers" uniqueName="[Dim_customers]" caption="Dim_customer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Date" caption="Date"/>
    <measureGroup name="Dim_customers" caption="Dim_customers"/>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871200462963" createdVersion="8" refreshedVersion="8" minRefreshableVersion="3" recordCount="0" supportSubquery="1" supportAdvancedDrill="1" xr:uid="{144156A9-D85E-42AE-A07A-59F777FFB5BC}">
  <cacheSource type="external" connectionId="8"/>
  <cacheFields count="1">
    <cacheField name="[sales_persons_table].[Store Name].[Store Name]" caption="Store Name" numFmtId="0" hierarchy="31" level="1">
      <sharedItems count="1">
        <s v="Berg-Trujillo"/>
      </sharedItems>
    </cacheField>
  </cacheFields>
  <cacheHierarchies count="53">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0"/>
      </fieldsUsage>
    </cacheHierarchy>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cacheHierarchy uniqueName="[Measures].[Profit Margin %]" caption="Profit Margin %" measure="1" displayFolder="" measureGroup="Calculations" count="0"/>
    <cacheHierarchy uniqueName="[Measures].[Transactions]" caption="Transactions" measure="1" displayFolder="" measureGroup="Calculations" count="0"/>
    <cacheHierarchy uniqueName="[Measures].[Total Refund]" caption="Total Refund" measure="1" displayFolder="" measureGroup="Calculations" count="0"/>
    <cacheHierarchy uniqueName="[Measures].[Refund Rate]" caption="Refund Rate" measure="1" displayFolder="" measureGroup="Calculations" count="0"/>
    <cacheHierarchy uniqueName="[Measures].[Products]" caption="Products" measure="1" displayFolder="" measureGroup="Calculations" count="0"/>
    <cacheHierarchy uniqueName="[Measures].[Total Qty Sold]" caption="Total Qty Sold" measure="1" displayFolder="" measureGroup="Calculations" count="0"/>
    <cacheHierarchy uniqueName="[Measures].[Total Qty Returned]" caption="Total Qty Returned" measure="1" displayFolder="" measureGroup="Calculations" count="0"/>
    <cacheHierarchy uniqueName="[Measures].[Total Target]" caption="Total Target" measure="1" displayFolder="" measureGroup="Calculations" count="0"/>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WeekType]" caption="Count of WeekType" measure="1" displayFolder="" measureGroup="Date" count="0" hidden="1">
      <extLst>
        <ext xmlns:x15="http://schemas.microsoft.com/office/spreadsheetml/2010/11/main" uri="{B97F6D7D-B522-45F9-BDA1-12C45D357490}">
          <x15:cacheHierarchy aggregatedColumn="7"/>
        </ext>
      </extLst>
    </cacheHierarchy>
  </cacheHierarchies>
  <kpis count="0"/>
  <dimensions count="8">
    <dimension name="Calculations" uniqueName="[Calculations]" caption="Calculations"/>
    <dimension name="Date" uniqueName="[Date]" caption="Date"/>
    <dimension name="Dim_customers" uniqueName="[Dim_customers]" caption="Dim_customer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Date" caption="Date"/>
    <measureGroup name="Dim_customers" caption="Dim_customers"/>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871200925925" createdVersion="8" refreshedVersion="8" minRefreshableVersion="3" recordCount="0" supportSubquery="1" supportAdvancedDrill="1" xr:uid="{9D23A3A2-8EB7-4799-84DB-0980DCD6F870}">
  <cacheSource type="external" connectionId="8"/>
  <cacheFields count="4">
    <cacheField name="[Date].[Month Name].[Month Name]" caption="Month Name" numFmtId="0" hierarchy="3" level="1">
      <sharedItems count="12">
        <s v="Jan"/>
        <s v="Feb"/>
        <s v="Mar"/>
        <s v="Apr"/>
        <s v="May"/>
        <s v="Jun"/>
        <s v="Jul"/>
        <s v="Aug"/>
        <s v="Sep"/>
        <s v="Oct"/>
        <s v="Nov"/>
        <s v="Dec"/>
      </sharedItems>
    </cacheField>
    <cacheField name="[Measures].[Total Revenue]" caption="Total Revenue" numFmtId="0" hierarchy="33" level="32767"/>
    <cacheField name="[Measures].[Total Target]" caption="Total Target" numFmtId="0" hierarchy="43" level="32767"/>
    <cacheField name="[sales_persons_table].[Store Name].[Store Name]" caption="Store Name" numFmtId="0" hierarchy="31" level="1">
      <sharedItems containsSemiMixedTypes="0" containsNonDate="0" containsString="0"/>
    </cacheField>
  </cacheFields>
  <cacheHierarchies count="53">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3"/>
      </fieldsUsage>
    </cacheHierarchy>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oneField="1">
      <fieldsUsage count="1">
        <fieldUsage x="1"/>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Profit Margin %]" caption="Profit Margin %" measure="1" displayFolder="" measureGroup="Calculations" count="0"/>
    <cacheHierarchy uniqueName="[Measures].[Transactions]" caption="Transactions" measure="1" displayFolder="" measureGroup="Calculations" count="0"/>
    <cacheHierarchy uniqueName="[Measures].[Total Refund]" caption="Total Refund" measure="1" displayFolder="" measureGroup="Calculations" count="0"/>
    <cacheHierarchy uniqueName="[Measures].[Refund Rate]" caption="Refund Rate" measure="1" displayFolder="" measureGroup="Calculations" count="0"/>
    <cacheHierarchy uniqueName="[Measures].[Products]" caption="Products" measure="1" displayFolder="" measureGroup="Calculations" count="0"/>
    <cacheHierarchy uniqueName="[Measures].[Total Qty Sold]" caption="Total Qty Sold" measure="1" displayFolder="" measureGroup="Calculations" count="0"/>
    <cacheHierarchy uniqueName="[Measures].[Total Qty Returned]" caption="Total Qty Returned" measure="1" displayFolder="" measureGroup="Calculations" count="0"/>
    <cacheHierarchy uniqueName="[Measures].[Total Target]" caption="Total Target" measure="1" displayFolder="" measureGroup="Calculations" count="0" oneField="1">
      <fieldsUsage count="1">
        <fieldUsage x="2"/>
      </fieldsUsage>
    </cacheHierarchy>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WeekType]" caption="Count of WeekType" measure="1" displayFolder="" measureGroup="Date" count="0" hidden="1">
      <extLst>
        <ext xmlns:x15="http://schemas.microsoft.com/office/spreadsheetml/2010/11/main" uri="{B97F6D7D-B522-45F9-BDA1-12C45D357490}">
          <x15:cacheHierarchy aggregatedColumn="7"/>
        </ext>
      </extLst>
    </cacheHierarchy>
  </cacheHierarchies>
  <kpis count="0"/>
  <dimensions count="8">
    <dimension name="Calculations" uniqueName="[Calculations]" caption="Calculations"/>
    <dimension name="Date" uniqueName="[Date]" caption="Date"/>
    <dimension name="Dim_customers" uniqueName="[Dim_customers]" caption="Dim_customer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Date" caption="Date"/>
    <measureGroup name="Dim_customers" caption="Dim_customers"/>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871201504633" createdVersion="8" refreshedVersion="8" minRefreshableVersion="3" recordCount="0" supportSubquery="1" supportAdvancedDrill="1" xr:uid="{284DC002-C8ED-4889-A0AC-71D31CD7F545}">
  <cacheSource type="external" connectionId="8"/>
  <cacheFields count="3">
    <cacheField name="[Measures].[Total Revenue]" caption="Total Revenue" numFmtId="0" hierarchy="33" level="32767"/>
    <cacheField name="[Measures].[Total Target]" caption="Total Target" numFmtId="0" hierarchy="43" level="32767"/>
    <cacheField name="[sales_persons_table].[Store Name].[Store Name]" caption="Store Name" numFmtId="0" hierarchy="31" level="1">
      <sharedItems containsSemiMixedTypes="0" containsNonDate="0" containsString="0"/>
    </cacheField>
  </cacheFields>
  <cacheHierarchies count="53">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2"/>
      </fieldsUsage>
    </cacheHierarchy>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oneField="1">
      <fieldsUsage count="1">
        <fieldUsage x="0"/>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Profit Margin %]" caption="Profit Margin %" measure="1" displayFolder="" measureGroup="Calculations" count="0"/>
    <cacheHierarchy uniqueName="[Measures].[Transactions]" caption="Transactions" measure="1" displayFolder="" measureGroup="Calculations" count="0"/>
    <cacheHierarchy uniqueName="[Measures].[Total Refund]" caption="Total Refund" measure="1" displayFolder="" measureGroup="Calculations" count="0"/>
    <cacheHierarchy uniqueName="[Measures].[Refund Rate]" caption="Refund Rate" measure="1" displayFolder="" measureGroup="Calculations" count="0"/>
    <cacheHierarchy uniqueName="[Measures].[Products]" caption="Products" measure="1" displayFolder="" measureGroup="Calculations" count="0"/>
    <cacheHierarchy uniqueName="[Measures].[Total Qty Sold]" caption="Total Qty Sold" measure="1" displayFolder="" measureGroup="Calculations" count="0"/>
    <cacheHierarchy uniqueName="[Measures].[Total Qty Returned]" caption="Total Qty Returned" measure="1" displayFolder="" measureGroup="Calculations" count="0"/>
    <cacheHierarchy uniqueName="[Measures].[Total Target]" caption="Total Target" measure="1" displayFolder="" measureGroup="Calculations" count="0" oneField="1">
      <fieldsUsage count="1">
        <fieldUsage x="1"/>
      </fieldsUsage>
    </cacheHierarchy>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WeekType]" caption="Count of WeekType" measure="1" displayFolder="" measureGroup="Date" count="0" hidden="1">
      <extLst>
        <ext xmlns:x15="http://schemas.microsoft.com/office/spreadsheetml/2010/11/main" uri="{B97F6D7D-B522-45F9-BDA1-12C45D357490}">
          <x15:cacheHierarchy aggregatedColumn="7"/>
        </ext>
      </extLst>
    </cacheHierarchy>
  </cacheHierarchies>
  <kpis count="0"/>
  <dimensions count="8">
    <dimension name="Calculations" uniqueName="[Calculations]" caption="Calculations"/>
    <dimension name="Date" uniqueName="[Date]" caption="Date"/>
    <dimension name="Dim_customers" uniqueName="[Dim_customers]" caption="Dim_customer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Date" caption="Date"/>
    <measureGroup name="Dim_customers" caption="Dim_customers"/>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877467013888" createdVersion="8" refreshedVersion="8" minRefreshableVersion="3" recordCount="0" supportSubquery="1" supportAdvancedDrill="1" xr:uid="{C6A99B65-927C-4D69-98A8-39005A1F9944}">
  <cacheSource type="external" connectionId="8"/>
  <cacheFields count="4">
    <cacheField name="[Measures].[Total Revenue]" caption="Total Revenue" numFmtId="0" hierarchy="33" level="32767"/>
    <cacheField name="[Measures].[Total Target]" caption="Total Target" numFmtId="0" hierarchy="43" level="32767"/>
    <cacheField name="[sales_persons_table].[Store Name].[Store Name]" caption="Store Name" numFmtId="0" hierarchy="31" level="1">
      <sharedItems count="10">
        <s v="Barron-Fleming"/>
        <s v="Berg-Trujillo"/>
        <s v="Lee-Myers"/>
        <s v="Lopez"/>
        <s v="Martinez"/>
        <s v="Miller"/>
        <s v="Myers-Lopez"/>
        <s v="Novak PLC"/>
        <s v="Thomas"/>
        <s v="Valdez"/>
      </sharedItems>
    </cacheField>
    <cacheField name="[Date].[Month Name].[Month Name]" caption="Month Name" numFmtId="0" hierarchy="3" level="1">
      <sharedItems containsSemiMixedTypes="0" containsNonDate="0" containsString="0"/>
    </cacheField>
  </cacheFields>
  <cacheHierarchies count="53">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3"/>
      </fieldsUsage>
    </cacheHierarchy>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2"/>
      </fieldsUsage>
    </cacheHierarchy>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oneField="1">
      <fieldsUsage count="1">
        <fieldUsage x="0"/>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Profit Margin %]" caption="Profit Margin %" measure="1" displayFolder="" measureGroup="Calculations" count="0"/>
    <cacheHierarchy uniqueName="[Measures].[Transactions]" caption="Transactions" measure="1" displayFolder="" measureGroup="Calculations" count="0"/>
    <cacheHierarchy uniqueName="[Measures].[Total Refund]" caption="Total Refund" measure="1" displayFolder="" measureGroup="Calculations" count="0"/>
    <cacheHierarchy uniqueName="[Measures].[Refund Rate]" caption="Refund Rate" measure="1" displayFolder="" measureGroup="Calculations" count="0"/>
    <cacheHierarchy uniqueName="[Measures].[Products]" caption="Products" measure="1" displayFolder="" measureGroup="Calculations" count="0"/>
    <cacheHierarchy uniqueName="[Measures].[Total Qty Sold]" caption="Total Qty Sold" measure="1" displayFolder="" measureGroup="Calculations" count="0"/>
    <cacheHierarchy uniqueName="[Measures].[Total Qty Returned]" caption="Total Qty Returned" measure="1" displayFolder="" measureGroup="Calculations" count="0"/>
    <cacheHierarchy uniqueName="[Measures].[Total Target]" caption="Total Target" measure="1" displayFolder="" measureGroup="Calculations" count="0" oneField="1">
      <fieldsUsage count="1">
        <fieldUsage x="1"/>
      </fieldsUsage>
    </cacheHierarchy>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WeekType]" caption="Count of WeekType" measure="1" displayFolder="" measureGroup="Date" count="0" hidden="1">
      <extLst>
        <ext xmlns:x15="http://schemas.microsoft.com/office/spreadsheetml/2010/11/main" uri="{B97F6D7D-B522-45F9-BDA1-12C45D357490}">
          <x15:cacheHierarchy aggregatedColumn="7"/>
        </ext>
      </extLst>
    </cacheHierarchy>
  </cacheHierarchies>
  <kpis count="0"/>
  <dimensions count="8">
    <dimension name="Calculations" uniqueName="[Calculations]" caption="Calculations"/>
    <dimension name="Date" uniqueName="[Date]" caption="Date"/>
    <dimension name="Dim_customers" uniqueName="[Dim_customers]" caption="Dim_customer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Date" caption="Date"/>
    <measureGroup name="Dim_customers" caption="Dim_customers"/>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877467592596" createdVersion="8" refreshedVersion="8" minRefreshableVersion="3" recordCount="0" supportSubquery="1" supportAdvancedDrill="1" xr:uid="{F8215D96-82B3-4512-840A-D57904BB7545}">
  <cacheSource type="external" connectionId="8"/>
  <cacheFields count="2">
    <cacheField name="[Date].[Month Name].[Month Name]" caption="Month Name" numFmtId="0" hierarchy="3" level="1">
      <sharedItems count="12">
        <s v="Jan"/>
        <s v="Feb"/>
        <s v="Mar"/>
        <s v="Apr"/>
        <s v="May"/>
        <s v="Jun"/>
        <s v="Jul"/>
        <s v="Aug"/>
        <s v="Sep"/>
        <s v="Oct"/>
        <s v="Nov"/>
        <s v="Dec"/>
      </sharedItems>
    </cacheField>
    <cacheField name="[Measures].[Total Revenue]" caption="Total Revenue" numFmtId="0" hierarchy="33" level="32767"/>
  </cacheFields>
  <cacheHierarchies count="53">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oneField="1">
      <fieldsUsage count="1">
        <fieldUsage x="1"/>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Profit Margin %]" caption="Profit Margin %" measure="1" displayFolder="" measureGroup="Calculations" count="0"/>
    <cacheHierarchy uniqueName="[Measures].[Transactions]" caption="Transactions" measure="1" displayFolder="" measureGroup="Calculations" count="0"/>
    <cacheHierarchy uniqueName="[Measures].[Total Refund]" caption="Total Refund" measure="1" displayFolder="" measureGroup="Calculations" count="0"/>
    <cacheHierarchy uniqueName="[Measures].[Refund Rate]" caption="Refund Rate" measure="1" displayFolder="" measureGroup="Calculations" count="0"/>
    <cacheHierarchy uniqueName="[Measures].[Products]" caption="Products" measure="1" displayFolder="" measureGroup="Calculations" count="0"/>
    <cacheHierarchy uniqueName="[Measures].[Total Qty Sold]" caption="Total Qty Sold" measure="1" displayFolder="" measureGroup="Calculations" count="0"/>
    <cacheHierarchy uniqueName="[Measures].[Total Qty Returned]" caption="Total Qty Returned" measure="1" displayFolder="" measureGroup="Calculations" count="0"/>
    <cacheHierarchy uniqueName="[Measures].[Total Target]" caption="Total Target" measure="1" displayFolder="" measureGroup="Calculations" count="0"/>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WeekType]" caption="Count of WeekType" measure="1" displayFolder="" measureGroup="Date" count="0" hidden="1">
      <extLst>
        <ext xmlns:x15="http://schemas.microsoft.com/office/spreadsheetml/2010/11/main" uri="{B97F6D7D-B522-45F9-BDA1-12C45D357490}">
          <x15:cacheHierarchy aggregatedColumn="7"/>
        </ext>
      </extLst>
    </cacheHierarchy>
  </cacheHierarchies>
  <kpis count="0"/>
  <dimensions count="8">
    <dimension name="Calculations" uniqueName="[Calculations]" caption="Calculations"/>
    <dimension name="Date" uniqueName="[Date]" caption="Date"/>
    <dimension name="Dim_customers" uniqueName="[Dim_customers]" caption="Dim_customer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Date" caption="Date"/>
    <measureGroup name="Dim_customers" caption="Dim_customers"/>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877468055558" createdVersion="8" refreshedVersion="8" minRefreshableVersion="3" recordCount="0" supportSubquery="1" supportAdvancedDrill="1" xr:uid="{6FF9D07E-AB61-45D7-8A7C-688C640F90D0}">
  <cacheSource type="external" connectionId="8"/>
  <cacheFields count="12">
    <cacheField name="[Measures].[Total Revenue]" caption="Total Revenue" numFmtId="0" hierarchy="33" level="32767"/>
    <cacheField name="[Measures].[COGS]" caption="COGS" numFmtId="0" hierarchy="34" level="32767"/>
    <cacheField name="[Measures].[Profit Margin]" caption="Profit Margin" numFmtId="0" hierarchy="35" level="32767"/>
    <cacheField name="[Measures].[Profit Margin %]" caption="Profit Margin %" numFmtId="0" hierarchy="36" level="32767"/>
    <cacheField name="[Measures].[Transactions]" caption="Transactions" numFmtId="0" hierarchy="37" level="32767"/>
    <cacheField name="[Measures].[Total Refund]" caption="Total Refund" numFmtId="0" hierarchy="38" level="32767"/>
    <cacheField name="[Measures].[Refund Rate]" caption="Refund Rate" numFmtId="0" hierarchy="39" level="32767"/>
    <cacheField name="[Measures].[Products]" caption="Products" numFmtId="0" hierarchy="40" level="32767"/>
    <cacheField name="[Measures].[Total Qty Sold]" caption="Total Qty Sold" numFmtId="0" hierarchy="41" level="32767"/>
    <cacheField name="[Measures].[Total Qty Returned]" caption="Total Qty Returned" numFmtId="0" hierarchy="42" level="32767"/>
    <cacheField name="[Measures].[Total Target]" caption="Total Target" numFmtId="0" hierarchy="43" level="32767"/>
    <cacheField name="[Date].[Month Name].[Month Name]" caption="Month Name" numFmtId="0" hierarchy="3" level="1">
      <sharedItems containsSemiMixedTypes="0" containsNonDate="0" containsString="0"/>
    </cacheField>
  </cacheFields>
  <cacheHierarchies count="53">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11"/>
      </fieldsUsage>
    </cacheHierarchy>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oneField="1">
      <fieldsUsage count="1">
        <fieldUsage x="0"/>
      </fieldsUsage>
    </cacheHierarchy>
    <cacheHierarchy uniqueName="[Measures].[COGS]" caption="COGS" measure="1" displayFolder="" measureGroup="Calculations" count="0" oneField="1">
      <fieldsUsage count="1">
        <fieldUsage x="1"/>
      </fieldsUsage>
    </cacheHierarchy>
    <cacheHierarchy uniqueName="[Measures].[Profit Margin]" caption="Profit Margin" measure="1" displayFolder="" measureGroup="Calculations" count="0" oneField="1">
      <fieldsUsage count="1">
        <fieldUsage x="2"/>
      </fieldsUsage>
    </cacheHierarchy>
    <cacheHierarchy uniqueName="[Measures].[Profit Margin %]" caption="Profit Margin %" measure="1" displayFolder="" measureGroup="Calculations" count="0" oneField="1">
      <fieldsUsage count="1">
        <fieldUsage x="3"/>
      </fieldsUsage>
    </cacheHierarchy>
    <cacheHierarchy uniqueName="[Measures].[Transactions]" caption="Transactions" measure="1" displayFolder="" measureGroup="Calculations" count="0" oneField="1">
      <fieldsUsage count="1">
        <fieldUsage x="4"/>
      </fieldsUsage>
    </cacheHierarchy>
    <cacheHierarchy uniqueName="[Measures].[Total Refund]" caption="Total Refund" measure="1" displayFolder="" measureGroup="Calculations" count="0" oneField="1">
      <fieldsUsage count="1">
        <fieldUsage x="5"/>
      </fieldsUsage>
    </cacheHierarchy>
    <cacheHierarchy uniqueName="[Measures].[Refund Rate]" caption="Refund Rate" measure="1" displayFolder="" measureGroup="Calculations" count="0" oneField="1">
      <fieldsUsage count="1">
        <fieldUsage x="6"/>
      </fieldsUsage>
    </cacheHierarchy>
    <cacheHierarchy uniqueName="[Measures].[Products]" caption="Products" measure="1" displayFolder="" measureGroup="Calculations" count="0" oneField="1">
      <fieldsUsage count="1">
        <fieldUsage x="7"/>
      </fieldsUsage>
    </cacheHierarchy>
    <cacheHierarchy uniqueName="[Measures].[Total Qty Sold]" caption="Total Qty Sold" measure="1" displayFolder="" measureGroup="Calculations" count="0" oneField="1">
      <fieldsUsage count="1">
        <fieldUsage x="8"/>
      </fieldsUsage>
    </cacheHierarchy>
    <cacheHierarchy uniqueName="[Measures].[Total Qty Returned]" caption="Total Qty Returned" measure="1" displayFolder="" measureGroup="Calculations" count="0" oneField="1">
      <fieldsUsage count="1">
        <fieldUsage x="9"/>
      </fieldsUsage>
    </cacheHierarchy>
    <cacheHierarchy uniqueName="[Measures].[Total Target]" caption="Total Target" measure="1" displayFolder="" measureGroup="Calculations" count="0" oneField="1">
      <fieldsUsage count="1">
        <fieldUsage x="10"/>
      </fieldsUsage>
    </cacheHierarchy>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WeekType]" caption="Count of WeekType" measure="1" displayFolder="" measureGroup="Date" count="0" hidden="1">
      <extLst>
        <ext xmlns:x15="http://schemas.microsoft.com/office/spreadsheetml/2010/11/main" uri="{B97F6D7D-B522-45F9-BDA1-12C45D357490}">
          <x15:cacheHierarchy aggregatedColumn="7"/>
        </ext>
      </extLst>
    </cacheHierarchy>
  </cacheHierarchies>
  <kpis count="0"/>
  <dimensions count="8">
    <dimension name="Calculations" uniqueName="[Calculations]" caption="Calculations"/>
    <dimension name="Date" uniqueName="[Date]" caption="Date"/>
    <dimension name="Dim_customers" uniqueName="[Dim_customers]" caption="Dim_customer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Date" caption="Date"/>
    <measureGroup name="Dim_customers" caption="Dim_customers"/>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152109490744" createdVersion="3" refreshedVersion="8" minRefreshableVersion="3" recordCount="0" supportSubquery="1" supportAdvancedDrill="1" xr:uid="{9450F3F9-0E1F-4A9D-BE6D-F149C0051C1D}">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cacheHierarchy uniqueName="[Measures].[Profit Margin %]" caption="Profit Margin %" measure="1" displayFolder="" measureGroup="Calculations" count="0"/>
    <cacheHierarchy uniqueName="[Measures].[Transactions]" caption="Transactions" measure="1" displayFolder="" measureGroup="Calculations" count="0"/>
    <cacheHierarchy uniqueName="[Measures].[Total Refund]" caption="Total Refund" measure="1" displayFolder="" measureGroup="Calculations" count="0"/>
    <cacheHierarchy uniqueName="[Measures].[Refund Rate]" caption="Refund Rate" measure="1" displayFolder="" measureGroup="Calculations" count="0"/>
    <cacheHierarchy uniqueName="[Measures].[Products]" caption="Products" measure="1" displayFolder="" measureGroup="Calculations" count="0"/>
    <cacheHierarchy uniqueName="[Measures].[Total Qty Sold]" caption="Total Qty Sold" measure="1" displayFolder="" measureGroup="Calculations" count="0"/>
    <cacheHierarchy uniqueName="[Measures].[Total Qty Returned]" caption="Total Qty Returned" measure="1" displayFolder="" measureGroup="Calculations" count="0"/>
    <cacheHierarchy uniqueName="[Measures].[Total Target]" caption="Total Target" measure="1" displayFolder="" measureGroup="Calculations" count="0"/>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3467543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7.691613310184" createdVersion="3" refreshedVersion="8" minRefreshableVersion="3" recordCount="0" supportSubquery="1" supportAdvancedDrill="1" xr:uid="{8D0DF534-0201-441C-9206-1E63414523D2}">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alculations].[Measures]" caption="Measures" attribute="1" defaultMemberUniqueName="[Calculations].[Measures].[All]" allUniqueName="[Calculations].[Measures].[All]" dimensionUniqueName="[Calculations]"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s]" caption="WeekDays" attribute="1" defaultMemberUniqueName="[Date].[WeekDays].[All]" allUniqueName="[Date].[WeekDays].[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Age.1]" caption="Age.1" attribute="1" defaultMemberUniqueName="[Dim_customers].[Age.1].[All]" allUniqueName="[Dim_customers].[Age.1].[All]" dimensionUniqueName="[Dim_customer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s]" caption="Dates" attribute="1" time="1" defaultMemberUniqueName="[monthly_store_targets].[Dates].[All]" allUniqueName="[monthly_store_targets].[Dates].[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Age.1]" caption="Age.1" attribute="1" defaultMemberUniqueName="[sales_persons_table].[Age.1].[All]" allUniqueName="[sales_persons_table].[Age.1].[All]" dimensionUniqueName="[sales_persons_table]" displayFolder="" count="0" memberValueDatatype="20"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cacheHierarchy uniqueName="[Measures].[Profit Margin %]" caption="Profit Margin %" measure="1" displayFolder="" measureGroup="Calculations" count="0"/>
    <cacheHierarchy uniqueName="[Measures].[Transactions]" caption="Transactions" measure="1" displayFolder="" measureGroup="Calculations" count="0"/>
    <cacheHierarchy uniqueName="[Measures].[Total Refund]" caption="Total Refund" measure="1" displayFolder="" measureGroup="Calculations" count="0"/>
    <cacheHierarchy uniqueName="[Measures].[Refund Rate]" caption="Refund Rate" measure="1" displayFolder="" measureGroup="Calculations" count="0"/>
    <cacheHierarchy uniqueName="[Measures].[Products]" caption="Products" measure="1" displayFolder="" measureGroup="Calculations" count="0"/>
    <cacheHierarchy uniqueName="[Measures].[Total Qty Sold]" caption="Total Qty Sold" measure="1" displayFolder="" measureGroup="Calculations" count="0"/>
    <cacheHierarchy uniqueName="[Measures].[Total Qty Returned]" caption="Total Qty Returned" measure="1" displayFolder="" measureGroup="Calculations" count="0"/>
    <cacheHierarchy uniqueName="[Measures].[Total Target]" caption="Total Target" measure="1" displayFolder="" measureGroup="Calculations" count="0"/>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im_customers]" caption="__XL_Count Dim_customers" measure="1" displayFolder="" measureGroup="Dim_customer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57906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1CB80A-DC4F-495D-AD5A-7619A917A34C}" name="PivotTable2" cacheId="276" applyNumberFormats="0" applyBorderFormats="0" applyFontFormats="0" applyPatternFormats="0" applyAlignmentFormats="0" applyWidthHeightFormats="1" dataCaption="Values" tag="f84106ef-bbd1-44e4-835b-13dac17ef383" updatedVersion="8" minRefreshableVersion="3" useAutoFormatting="1" itemPrintTitles="1" createdVersion="8" indent="0" outline="1" outlineData="1" multipleFieldFilters="0">
  <location ref="V6:W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formats count="2">
    <format dxfId="1">
      <pivotArea collapsedLevelsAreSubtotals="1" fieldPosition="0">
        <references count="1">
          <reference field="0" count="1">
            <x v="0"/>
          </reference>
        </references>
      </pivotArea>
    </format>
    <format dxfId="0">
      <pivotArea collapsedLevelsAreSubtotals="1" fieldPosition="0">
        <references count="1">
          <reference field="0" count="1">
            <x v="1"/>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3792C8-D241-46A5-9263-36357712AC06}" name="PivotTable1" cacheId="256" applyNumberFormats="0" applyBorderFormats="0" applyFontFormats="0" applyPatternFormats="0" applyAlignmentFormats="0" applyWidthHeightFormats="1" dataCaption="Values" tag="5d60fd4b-1416-478c-87c1-5ec9794dcc74" updatedVersion="8" minRefreshableVersion="3" useAutoFormatting="1" subtotalHiddenItems="1" itemPrintTitles="1" createdVersion="8" indent="0" outline="1" outlineData="1" multipleFieldFilters="0" chartFormat="73">
  <location ref="T6:U9" firstHeaderRow="1" firstDataRow="1" firstDataCol="1"/>
  <pivotFields count="3">
    <pivotField dataField="1" subtotalTop="0" showAll="0" defaultSubtotal="0"/>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Total Revenue2" fld="0" subtotal="count" showDataAs="percentOfTotal" baseField="0" baseItem="0" numFmtId="10"/>
  </dataFields>
  <formats count="1">
    <format dxfId="2">
      <pivotArea outline="0" fieldPosition="0">
        <references count="1">
          <reference field="4294967294" count="1">
            <x v="0"/>
          </reference>
        </references>
      </pivotArea>
    </format>
  </formats>
  <chartFormats count="12">
    <chartFormat chart="56" format="0" series="1">
      <pivotArea type="data" outline="0" fieldPosition="0">
        <references count="1">
          <reference field="4294967294" count="1" selected="0">
            <x v="0"/>
          </reference>
        </references>
      </pivotArea>
    </chartFormat>
    <chartFormat chart="56" format="1">
      <pivotArea type="data" outline="0" fieldPosition="0">
        <references count="2">
          <reference field="4294967294" count="1" selected="0">
            <x v="0"/>
          </reference>
          <reference field="2" count="1" selected="0">
            <x v="1"/>
          </reference>
        </references>
      </pivotArea>
    </chartFormat>
    <chartFormat chart="56" format="2">
      <pivotArea type="data" outline="0" fieldPosition="0">
        <references count="2">
          <reference field="4294967294" count="1" selected="0">
            <x v="0"/>
          </reference>
          <reference field="2" count="1" selected="0">
            <x v="0"/>
          </reference>
        </references>
      </pivotArea>
    </chartFormat>
    <chartFormat chart="64" format="6" series="1">
      <pivotArea type="data" outline="0" fieldPosition="0">
        <references count="1">
          <reference field="4294967294" count="1" selected="0">
            <x v="0"/>
          </reference>
        </references>
      </pivotArea>
    </chartFormat>
    <chartFormat chart="64" format="7">
      <pivotArea type="data" outline="0" fieldPosition="0">
        <references count="2">
          <reference field="4294967294" count="1" selected="0">
            <x v="0"/>
          </reference>
          <reference field="2" count="1" selected="0">
            <x v="0"/>
          </reference>
        </references>
      </pivotArea>
    </chartFormat>
    <chartFormat chart="64" format="8">
      <pivotArea type="data" outline="0" fieldPosition="0">
        <references count="2">
          <reference field="4294967294" count="1" selected="0">
            <x v="0"/>
          </reference>
          <reference field="2" count="1" selected="0">
            <x v="1"/>
          </reference>
        </references>
      </pivotArea>
    </chartFormat>
    <chartFormat chart="66" format="12" series="1">
      <pivotArea type="data" outline="0" fieldPosition="0">
        <references count="1">
          <reference field="4294967294" count="1" selected="0">
            <x v="0"/>
          </reference>
        </references>
      </pivotArea>
    </chartFormat>
    <chartFormat chart="66" format="13">
      <pivotArea type="data" outline="0" fieldPosition="0">
        <references count="2">
          <reference field="4294967294" count="1" selected="0">
            <x v="0"/>
          </reference>
          <reference field="2" count="1" selected="0">
            <x v="0"/>
          </reference>
        </references>
      </pivotArea>
    </chartFormat>
    <chartFormat chart="66" format="14">
      <pivotArea type="data" outline="0" fieldPosition="0">
        <references count="2">
          <reference field="4294967294" count="1" selected="0">
            <x v="0"/>
          </reference>
          <reference field="2" count="1" selected="0">
            <x v="1"/>
          </reference>
        </references>
      </pivotArea>
    </chartFormat>
    <chartFormat chart="70" format="6" series="1">
      <pivotArea type="data" outline="0" fieldPosition="0">
        <references count="1">
          <reference field="4294967294" count="1" selected="0">
            <x v="0"/>
          </reference>
        </references>
      </pivotArea>
    </chartFormat>
    <chartFormat chart="70" format="7">
      <pivotArea type="data" outline="0" fieldPosition="0">
        <references count="2">
          <reference field="4294967294" count="1" selected="0">
            <x v="0"/>
          </reference>
          <reference field="2" count="1" selected="0">
            <x v="0"/>
          </reference>
        </references>
      </pivotArea>
    </chartFormat>
    <chartFormat chart="70" format="8">
      <pivotArea type="data" outline="0" fieldPosition="0">
        <references count="2">
          <reference field="4294967294" count="1" selected="0">
            <x v="0"/>
          </reference>
          <reference field="2"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at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977D4D-6A44-4F70-A542-A4FB9E329E1A}" name="PivotTable7" cacheId="435" applyNumberFormats="0" applyBorderFormats="0" applyFontFormats="0" applyPatternFormats="0" applyAlignmentFormats="0" applyWidthHeightFormats="1" dataCaption="Values" tag="acd2bdfe-5c1e-4345-84c1-5e45b640519f" updatedVersion="8" minRefreshableVersion="3" useAutoFormatting="1" rowGrandTotals="0" colGrandTotals="0" itemPrintTitles="1" createdVersion="8" indent="0" outline="1" outlineData="1" multipleFieldFilters="0" chartFormat="22">
  <location ref="B6:D18"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6">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outline="0" fieldPosition="0">
        <references count="1">
          <reference field="4294967294" count="2">
            <x v="0"/>
            <x v="1"/>
          </reference>
        </references>
      </pivotArea>
    </format>
    <format dxfId="45">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Berg-Trujillo]"/>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A89825-41B2-40C5-ACE2-A0AFFAEB4865}" name="PivotTable10" cacheId="438" applyNumberFormats="0" applyBorderFormats="0" applyFontFormats="0" applyPatternFormats="0" applyAlignmentFormats="0" applyWidthHeightFormats="1" dataCaption="Values" tag="48c76f8d-0717-44a8-8545-624c938124cc" updatedVersion="8" minRefreshableVersion="3" useAutoFormatting="1" rowGrandTotals="0" colGrandTotals="0" itemPrintTitles="1" createdVersion="8" indent="0" outline="1" outlineData="1" multipleFieldFilters="0" chartFormat="22">
  <location ref="P6:Q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4">
    <format dxfId="54">
      <pivotArea type="all" dataOnly="0" outline="0" fieldPosition="0"/>
    </format>
    <format dxfId="53">
      <pivotArea outline="0" collapsedLevelsAreSubtotals="1" fieldPosition="0"/>
    </format>
    <format dxfId="52">
      <pivotArea dataOnly="0" labelOnly="1" outline="0" fieldPosition="0">
        <references count="1">
          <reference field="4294967294" count="2">
            <x v="0"/>
            <x v="1"/>
          </reference>
        </references>
      </pivotArea>
    </format>
    <format dxfId="51">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Berg-Trujillo]"/>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CC58D7-6F03-41DF-97A6-5013E38D77FF}" name="PivotTable9" cacheId="432" applyNumberFormats="0" applyBorderFormats="0" applyFontFormats="0" applyPatternFormats="0" applyAlignmentFormats="0" applyWidthHeightFormats="1" dataCaption="Values" tag="ff0ed6ad-3fe7-4e25-98c3-fc2c9194589f" updatedVersion="8" minRefreshableVersion="3" useAutoFormatting="1" itemPrintTitles="1" createdVersion="8" indent="0" outline="1" outlineData="1" multipleFieldFilters="0">
  <location ref="C52:C5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764595-D8C7-43A0-956E-366F969AB69F}" name="KPI" cacheId="546" applyNumberFormats="0" applyBorderFormats="0" applyFontFormats="0" applyPatternFormats="0" applyAlignmentFormats="0" applyWidthHeightFormats="1" dataCaption="Values" tag="380b49c7-2213-48ec-b1ea-bcb318c13654" updatedVersion="8" minRefreshableVersion="3" useAutoFormatting="1" subtotalHiddenItems="1" itemPrintTitles="1" createdVersion="8" indent="0" outline="1" outlineData="1" multipleFieldFilters="0">
  <location ref="B4:L5"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numFmtId="166"/>
    <dataField fld="1" subtotal="count" baseField="0" baseItem="0" numFmtId="166"/>
    <dataField fld="2" subtotal="count" baseField="0" baseItem="0" numFmtId="166"/>
    <dataField fld="3" subtotal="count" baseField="0" baseItem="0"/>
    <dataField fld="4" subtotal="count" baseField="0" baseItem="0" numFmtId="166"/>
    <dataField fld="5" subtotal="count" baseField="0" baseItem="0" numFmtId="166"/>
    <dataField fld="6" subtotal="count" baseField="0" baseItem="0"/>
    <dataField fld="7" subtotal="count" baseField="0" baseItem="0"/>
    <dataField fld="8" subtotal="count" baseField="0" baseItem="0" numFmtId="166"/>
    <dataField fld="9" subtotal="count" baseField="0" baseItem="0" numFmtId="166"/>
    <dataField fld="10" subtotal="count" baseField="0" baseItem="0" numFmtId="166"/>
  </dataFields>
  <formats count="8">
    <format dxfId="62">
      <pivotArea outline="0" collapsedLevelsAreSubtotals="1" fieldPosition="0">
        <references count="1">
          <reference field="4294967294" count="1" selected="0">
            <x v="0"/>
          </reference>
        </references>
      </pivotArea>
    </format>
    <format dxfId="61">
      <pivotArea outline="0" collapsedLevelsAreSubtotals="1" fieldPosition="0">
        <references count="1">
          <reference field="4294967294" count="1" selected="0">
            <x v="5"/>
          </reference>
        </references>
      </pivotArea>
    </format>
    <format dxfId="60">
      <pivotArea outline="0" collapsedLevelsAreSubtotals="1" fieldPosition="0">
        <references count="1">
          <reference field="4294967294" count="1" selected="0">
            <x v="10"/>
          </reference>
        </references>
      </pivotArea>
    </format>
    <format dxfId="59">
      <pivotArea outline="0" collapsedLevelsAreSubtotals="1" fieldPosition="0">
        <references count="1">
          <reference field="4294967294" count="1" selected="0">
            <x v="4"/>
          </reference>
        </references>
      </pivotArea>
    </format>
    <format dxfId="58">
      <pivotArea outline="0" collapsedLevelsAreSubtotals="1" fieldPosition="0">
        <references count="1">
          <reference field="4294967294" count="1" selected="0">
            <x v="8"/>
          </reference>
        </references>
      </pivotArea>
    </format>
    <format dxfId="57">
      <pivotArea outline="0" collapsedLevelsAreSubtotals="1" fieldPosition="0">
        <references count="1">
          <reference field="4294967294" count="1" selected="0">
            <x v="9"/>
          </reference>
        </references>
      </pivotArea>
    </format>
    <format dxfId="56">
      <pivotArea outline="0" collapsedLevelsAreSubtotals="1" fieldPosition="0">
        <references count="1">
          <reference field="4294967294" count="1" selected="0">
            <x v="1"/>
          </reference>
        </references>
      </pivotArea>
    </format>
    <format dxfId="55">
      <pivotArea outline="0" collapsedLevelsAreSubtotals="1" fieldPosition="0">
        <references count="1">
          <reference field="4294967294" count="1" selected="0">
            <x v="2"/>
          </reference>
        </references>
      </pivotArea>
    </format>
  </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219536-C06D-4E77-8CDC-EEA57CC00544}" name="PivotTable6" cacheId="543" applyNumberFormats="0" applyBorderFormats="0" applyFontFormats="0" applyPatternFormats="0" applyAlignmentFormats="0" applyWidthHeightFormats="1" dataCaption="Values" tag="0bbf2c9c-a56a-44b4-ae80-ea1686020ebd" updatedVersion="8" minRefreshableVersion="3" useAutoFormatting="1" subtotalHiddenItems="1" itemPrintTitles="1" createdVersion="8" indent="0" outline="1" outlineData="1" multipleFieldFilters="0">
  <location ref="R4:S17"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sales_persons_tabl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CBB7CC-43E7-480A-A66E-9B0CE069B3E3}" name="PivotTable3" cacheId="540" applyNumberFormats="0" applyBorderFormats="0" applyFontFormats="0" applyPatternFormats="0" applyAlignmentFormats="0" applyWidthHeightFormats="1" dataCaption="Values" tag="47ece167-538e-43d6-afda-92b62c06c580" updatedVersion="8" minRefreshableVersion="3" useAutoFormatting="1" subtotalHiddenItems="1" itemPrintTitles="1" createdVersion="8" indent="0" outline="1" outlineData="1" multipleFieldFilters="0">
  <location ref="N4:P1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fld="0" subtotal="count" baseField="0" baseItem="0"/>
    <dataField fld="1" subtotal="count" baseField="0" baseItem="0"/>
  </dataField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sales_persons_tabl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F4E5CC5-3864-4A2D-B675-72DFFC38B67A}" sourceName="[Date].[Month Name]">
  <pivotTables>
    <pivotTable tabId="3" name="PivotTable3"/>
    <pivotTable tabId="3" name="PivotTable6"/>
    <pivotTable tabId="3" name="KPI"/>
  </pivotTables>
  <data>
    <olap pivotCacheId="1634675436">
      <levels count="2">
        <level uniqueName="[Date].[Month Name].[(All)]" sourceCaption="(All)" count="0"/>
        <level uniqueName="[Date].[Month Name].[Month Name]" sourceCaption="Month Name" count="12">
          <ranges>
            <range startItem="0">
              <i n="[Date].[Month Name].&amp;[Jan]" c="Jan"/>
              <i n="[Date].[Month Name].&amp;[Feb]" c="Feb"/>
              <i n="[Date].[Month Name].&amp;[Mar]" c="Mar"/>
              <i n="[Date].[Month Name].&amp;[Apr]" c="Apr"/>
              <i n="[Date].[Month Name].&amp;[May]" c="May"/>
              <i n="[Date].[Month Name].&amp;[Jun]" c="Jun"/>
              <i n="[Date].[Month Name].&amp;[Jul]" c="Jul"/>
              <i n="[Date].[Month Name].&amp;[Aug]" c="Aug"/>
              <i n="[Date].[Month Name].&amp;[Sep]" c="Sep"/>
              <i n="[Date].[Month Name].&amp;[Oct]" c="Oct"/>
              <i n="[Date].[Month Name].&amp;[Nov]" c="Nov"/>
              <i n="[Date].[Month Name].&amp;[Dec]" c="Dec"/>
            </range>
          </ranges>
        </level>
      </levels>
      <selections count="1">
        <selection n="[Date].[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44B0BBEB-4EFF-4D1B-A84F-C8CEDB8DE933}" sourceName="[sales_persons_table].[Store Name]">
  <pivotTables>
    <pivotTable tabId="6" name="PivotTable9"/>
    <pivotTable tabId="6" name="PivotTable7"/>
    <pivotTable tabId="6" name="PivotTable10"/>
  </pivotTables>
  <data>
    <olap pivotCacheId="295790601">
      <levels count="2">
        <level uniqueName="[sales_persons_table].[Store Name].[(All)]" sourceCaption="(All)" count="0"/>
        <level uniqueName="[sales_persons_table].[Store Name].[Store Name]" sourceCaption="Store Name" count="10">
          <ranges>
            <range startItem="0">
              <i n="[sales_persons_table].[Store Name].&amp;[Barron-Fleming]" c="Barron-Fleming"/>
              <i n="[sales_persons_table].[Store Name].&amp;[Berg-Trujillo]" c="Berg-Trujillo"/>
              <i n="[sales_persons_table].[Store Name].&amp;[Lee-Myers]" c="Lee-Myers"/>
              <i n="[sales_persons_table].[Store Name].&amp;[Lopez]" c="Lopez"/>
              <i n="[sales_persons_table].[Store Name].&amp;[Martinez]" c="Martinez"/>
              <i n="[sales_persons_table].[Store Name].&amp;[Miller]" c="Miller"/>
              <i n="[sales_persons_table].[Store Name].&amp;[Myers-Lopez]" c="Myers-Lopez"/>
              <i n="[sales_persons_table].[Store Name].&amp;[Novak PLC]" c="Novak PLC"/>
              <i n="[sales_persons_table].[Store Name].&amp;[Thomas]" c="Thomas"/>
              <i n="[sales_persons_table].[Store Name].&amp;[Valdez]" c="Valdez"/>
            </range>
          </ranges>
        </level>
      </levels>
      <selections count="1">
        <selection n="[sales_persons_table].[Store Name].&amp;[Berg-Trujill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1" xr10:uid="{DB397921-5436-40DA-940F-94B37711A18E}" cache="Slicer_Store_Name" caption="Filter by Store" columnCount="2" level="1"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BDFDC0CE-4522-4D0F-BF1D-9BE53DABCD9A}" cache="Slicer_Month_Name" caption="Filter by Month" columnCount="3" level="1" style="SlicerStyleLight1 2" rowHeight="3657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8BBDFA8A-8CDE-45B1-82E3-592DB8D764A4}" cache="Slicer_Store_Name" caption="Store Nam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5AEC028A-DB48-40B8-BC04-BA1DADF9B455}" cache="Slicer_Month_Name" caption="Month Nam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3.xml"/><Relationship Id="rId1" Type="http://schemas.microsoft.com/office/2011/relationships/webextension" Target="webextension2.xml"/></Relationships>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675F613-71D9-4023-83E2-3B5CE685A40C}">
  <we:reference id="wa200004689" version="1.0.0.0" store="en-US" storeType="OMEX"/>
  <we:alternateReferences>
    <we:reference id="WA200004689" version="1.0.0.0" store="WA200004689" storeType="OMEX"/>
  </we:alternateReferences>
  <we:properties>
    <we:property name="SourceData" value="{&quot;pivotTable&quot;:&quot;PivotTable3&quot;,&quot;worksheetId&quot;:&quot;{42C5D4B7-B2E3-4C4C-8E3F-D6CF93C49E8D}&quot;}"/>
    <we:property name="ZBILicenseSettings" value="{&quot;userInfo&quot;:{&quot;name&quot;:&quot;Jatin Chaudhary&quot;,&quot;email&quot;:&quot;jatinchaudhary3333@gmail.com&quot;,&quot;userId&quot;:&quot;00000000-0000-0000-eb39-357a29a60cac&quot;,&quot;organizationId&quot;:&quot;9188040d-6c67-4c5b-b112-36a304b66dad&quot;,&quot;isViewer&quot;:false,&quot;lastDisplayedOverlay&quot;:&quot;Fri, 11 Sep 2026 21:50:36 GMT&quot;}}"/>
    <we:property name="ZBITablesSettings" value="{&quot;proFeaturesEnabled&quot;:true,&quot;proFeaturesUnlocked&quot;:true,&quot;proFeaturesDisabledByUser&quot;:false,&quot;invert&quot;:false,&quot;suppressZeros&quot;:true,&quot;suppressNulls&quot;:true,&quot;suppressAbsoluteVariances&quot;:false,&quot;suppressEmptyColumns&quot;:false,&quot;showAsTable&quot;:false,&quot;showAdSlide&quot;:false,&quot;chartType&quot;:&quot;Actual / Absolute / Relative&quot;,&quot;groupsInColumns&quot;:false,&quot;showGridlines&quot;:true,&quot;showMajorGridlines&quot;:true,&quot;gridlineDensity&quot;:5,&quot;showGridlinesTable&quot;:true,&quot;gridlineDensityTable&quot;:1,&quot;fontSize&quot;:10,&quot;showTotals&quot;:0,&quot;showColumnTotals&quot;:false,&quot;columnTotalLabels&quot;:{},&quot;showRowGrandTotal&quot;:false,&quot;showColumnGrandTotal&quot;:false,&quot;freezeGrandTotal&quot;:true,&quot;grandTotalGap&quot;:false,&quot;rowGrandTotalLabel&quot;:&quot;Total&quot;,&quot;columnGrandTotalLabel&quot;:&quot;Total&quot;,&quot;absoluteChart&quot;:0,&quot;valueChart&quot;:1,&quot;valueChartIntegrated&quot;:false,&quot;onlyOneColumn&quot;:false,&quot;limitOutliers&quot;:false,&quot;minOutlierValue&quot;:null,&quot;maxOutlierValue&quot;:null,&quot;gapBetweenColumnsPercent&quot;:30,&quot;showPrefixes&quot;:true,&quot;columnSettings&quot;:{},&quot;categoryFormatSettings&quot;:{},&quot;columnTotalEmphasize&quot;:{},&quot;columnTotalEmphasizeTable&quot;:{},&quot;suppressLargeRelativeVariance&quot;:false,&quot;suppressLargeRelativeVarianceValue&quot;:100,&quot;valueHeader&quot;:null,&quot;referenceHeader&quot;:null,&quot;absoluteDifferenceHeader&quot;:null,&quot;relativeDifferenceHeader&quot;:null,&quot;secondReferenceHeader&quot;:null,&quot;secondAbsoluteDifferenceHeader&quot;:null,&quot;secondRelativeDifferenceHeader&quot;:null,&quot;thirdReferenceHeader&quot;:null,&quot;thirdAbsoluteDifferenceHeader&quot;:null,&quot;thirdRelativeDifferenceHeader&quot;:null,&quot;fourthReferenceHeader&quot;:null,&quot;fourthAbsoluteDifferenceHeader&quot;:null,&quot;fourthRelativeDifferenceHeader&quot;:null,&quot;fifthReferenceHeader&quot;:null,&quot;fifthAbsoluteDifferenceHeader&quot;:null,&quot;fifthRelativeDifferenceHeader&quot;:null,&quot;sixthReferenceHeader&quot;:null,&quot;sixthAbsoluteDifferenceHeader&quot;:null,&quot;sixthRelativeDifferenceHeader&quot;:null,&quot;seventhReferenceHeader&quot;:null,&quot;seventhAbsoluteDifferenceHeader&quot;:null,&quot;seventhRelativeDifferenceHeader&quot;:null,&quot;additionalMeasure1Header&quot;:null,&quot;additionalMeasure2Header&quot;:null,&quot;additionalMeasure3Header&quot;:null,&quot;additionalMeasure4Header&quot;:null,&quot;additionalMeasure5Header&quot;:null,&quot;additionalMeasure6Header&quot;:null,&quot;additionalMeasure7Header&quot;:null,&quot;additionalMeasure8Header&quot;:null,&quot;additionalMeasure9Header&quot;:null,&quot;additionalMeasure10Header&quot;:null,&quot;additionalMeasure11Header&quot;:null,&quot;additionalMeasure12Header&quot;:null,&quot;additionalMeasure13Header&quot;:null,&quot;additionalMeasure14Header&quot;:null,&quot;additionalMeasure15Header&quot;:null,&quot;additionalMeasure16Header&quot;:null,&quot;additionalMeasure17Header&quot;:null,&quot;additionalMeasure18Header&quot;:null,&quot;additionalMeasure19Header&quot;:null,&quot;additionalMeasure20Header&quot;:null,&quot;previousYear&quot;:&quot;Total Target&quot;,&quot;actual&quot;:&quot;Total Revenue&quot;,&quot;forecast&quot;:null,&quot;plan&quot;:null,&quot;plan2&quot;:null,&quot;plan3&quot;:null,&quot;forecast2&quot;:null,&quot;forecast3&quot;:null,&quot;actual-previousYear&quot;:&quot;Variance&quot;,&quot;actual-previousYear-percent&quot;:&quot;Variance%&quot;,&quot;previousYear-actual&quot;:null,&quot;previousYear-actual-percent&quot;:null,&quot;actual-forecast&quot;:null,&quot;actual-forecast-percent&quot;:null,&quot;forecast-actual&quot;:null,&quot;forecast-actual-percent&quot;:null,&quot;actual-plan&quot;:null,&quot;actual-plan-percent&quot;:null,&quot;plan-actual&quot;:null,&quot;plan-actual-percent&quot;:null,&quot;previousYear-forecast&quot;:null,&quot;previousYear-forecast-percent&quot;:null,&quot;forecast-previousYear&quot;:null,&quot;forecast-previousYear-percent&quot;:null,&quot;previousYear-plan&quot;:null,&quot;previousYear-plan-percent&quot;:null,&quot;plan-previousYear&quot;:null,&quot;plan-previousYear-percent&quot;:null,&quot;forecast-plan&quot;:null,&quot;forecast-plan-percent&quot;:null,&quot;plan-forecast&quot;:null,&quot;plan-forecast-percent&quot;:null,&quot;actual-plan2&quot;:null,&quot;actual-plan2-percent&quot;:null,&quot;actual-plan3&quot;:null,&quot;actual-plan3-percent&quot;:null,&quot;actual-forecast2&quot;:null,&quot;actual-forecast2-percent&quot;:null,&quot;actual-forecast3&quot;:null,&quot;actual-forecast3-percent&quot;:null,&quot;plan2-actual&quot;:null,&quot;plan2-actual-percent&quot;:null,&quot;plan3-actual&quot;:null,&quot;plan3-actual-percent&quot;:null,&quot;forecast2-actual&quot;:null,&quot;forecast2-actual-percent&quot;:null,&quot;forecast3-actual&quot;:null,&quot;forecast3-actual-percent&quot;:null,&quot;plan2-previousYear&quot;:null,&quot;plan2-previousYear-percent&quot;:null,&quot;plan3-previousYear&quot;:null,&quot;plan3-previousYear-percent&quot;:null,&quot;forecast2-previousYear&quot;:null,&quot;forecast2-previousYear-percent&quot;:null,&quot;forecast3-previousYear&quot;:null,&quot;forecast3-previousYear-percent&quot;:null,&quot;previousYear-plan2&quot;:null,&quot;previousYear-plan2-percent&quot;:null,&quot;previousYear-plan3&quot;:null,&quot;previousYear-plan3-percent&quot;:null,&quot;previousYear-forecast2&quot;:null,&quot;previousYear-forecast2-percent&quot;:null,&quot;previousYear-forecast3&quot;:null,&quot;previousYear-forecast3-percent&quot;:null,&quot;forecast-plan2&quot;:null,&quot;forecast-plan2-percent&quot;:null,&quot;forecast-plan3&quot;:null,&quot;forecast-plan3-percent&quot;:null,&quot;forecast2-plan&quot;:null,&quot;forecast2-plan-percent&quot;:null,&quot;forecast2-plan2&quot;:null,&quot;forecast2-plan2-percent&quot;:null,&quot;forecast2-plan3&quot;:null,&quot;forecast2-plan3-percent&quot;:null,&quot;forecast3-plan&quot;:null,&quot;forecast3-plan-percent&quot;:null,&quot;forecast3-plan2&quot;:null,&quot;forecast3-plan2-percent&quot;:null,&quot;forecast3-plan3&quot;:null,&quot;forecast3-plan3-percent&quot;:null,&quot;plan-forecast2&quot;:null,&quot;plan-forecast2-percent&quot;:null,&quot;plan-forecast3&quot;:null,&quot;plan-forecast3-percent&quot;:null,&quot;plan2-forecast&quot;:null,&quot;plan2-forecast-percent&quot;:null,&quot;plan2-forecast2&quot;:null,&quot;plan2-forecast2-percent&quot;:null,&quot;plan2-forecast3&quot;:null,&quot;plan2-forecast3-percent&quot;:null,&quot;plan3-forecast&quot;:null,&quot;plan3-forecast-percent&quot;:null,&quot;plan3-forecast2&quot;:null,&quot;plan3-forecast2-percent&quot;:null,&quot;plan3-forecast3&quot;:null,&quot;plan3-forecast3-percent&quot;:null,&quot;forecast-forecast2&quot;:null,&quot;forecast-forecast2-percent&quot;:null,&quot;forecast-forecast3&quot;:null,&quot;forecast-forecast3-percent&quot;:null,&quot;forecast2-forecast&quot;:null,&quot;forecast2-forecast-percent&quot;:null,&quot;forecast2-forecast3&quot;:null,&quot;forecast2-forecast3-percent&quot;:null,&quot;forecast3-forecast&quot;:null,&quot;forecast3-forecast-percent&quot;:null,&quot;forecast3-forecast2&quot;:null,&quot;forecast3-forecast2-percent&quot;:null,&quot;plan-plan2&quot;:null,&quot;plan-plan2-percent&quot;:null,&quot;plan-plan3&quot;:null,&quot;plan-plan3-percent&quot;:null,&quot;plan2-plan&quot;:null,&quot;plan2-plan-percent&quot;:null,&quot;plan2-plan3&quot;:null,&quot;plan2-plan3-percent&quot;:null,&quot;plan3-plan&quot;:null,&quot;plan3-plan-percent&quot;:null,&quot;plan3-plan2&quot;:null,&quot;plan3-plan2-percent&quot;:null,&quot;freezeHeaders&quot;:true,&quot;firstTimeShowingColumnAdder&quot;:true,&quot;showTitle&quot;:true,&quot;titleWrap&quot;:true,&quot;titleAlignment&quot;:&quot;left&quot;,&quot;titleFontSize&quot;:12,&quot;titleFontColor&quot;:&quot;#000&quot;,&quot;titleText&quot;:&quot;Total Revenue and Total Target by Category&quot;,&quot;titleFontFamily&quot;:&quot;Calibri, helvetica, arial, sans-serif&quot;,&quot;titleFontWeight&quot;:&quot;normal&quot;,&quot;titleFontStyle&quot;:&quot;normal&quot;,&quot;freezeTitle&quot;:true,&quot;groupTitleAlignment&quot;:&quot;left&quot;,&quot;groupTitleFontSize&quot;:12,&quot;groupTitleFontColor&quot;:&quot;#000&quot;,&quot;groupTitleFontFamily&quot;:&quot;Calibri, helvetica, arial, sans-serif&quot;,&quot;groupTitleDisplayOptions&quot;:0,&quot;groupTitleWidth&quot;:50,&quot;showCategories&quot;:true,&quot;categoriesDisplayOptions&quot;:0,&quot;categoriesWidth&quot;:100,&quot;categoriesRowHeight&quot;:0,&quot;categoriesHeight&quot;:20,&quot;categoriesIndent&quot;:16,&quot;topNType&quot;:0,&quot;topNDataProperty&quot;:0,&quot;plottedDataProperties&quot;:[&quot;1&quot;,&quot;0&quot;,&quot;2&quot;,&quot;3&quot;],&quot;topNCategoriesToKeep&quot;:5,&quot;topNSettings&quot;:[],&quot;topNOtherLabel&quot;:&quot;Others&quot;,&quot;topNOtherShown&quot;:false,&quot;freezeCategories&quot;:true,&quot;showTopNForm&quot;:false,&quot;colorScheme&quot;:{&quot;positiveColor&quot;:&quot;#7aca00&quot;,&quot;negativeColor&quot;:&quot;#ff0000&quot;,&quot;neutralColor&quot;:&quot;#404040&quot;,&quot;markerColor&quot;:&quot;#000&quot;,&quot;lineColor&quot;:&quot;#404040&quot;,&quot;axisColor&quot;:&quot;#000&quot;,&quot;gridlineColor&quot;:&quot;#ccc&quot;,&quot;majorGridlineColor&quot;:&quot;#999&quot;,&quot;dotChartColor&quot;:&quot;#4080FF&quot;,&quot;useCustomScenarioColors&quot;:false,&quot;highlightColor&quot;:&quot;#0070C0&quot;},&quot;chartStyle&quot;:0,&quot;lightenOverlapped&quot;:true,&quot;varianceDisplayType&quot;:0,&quot;showDataLabels&quot;:true,&quot;labelFontColor&quot;:&quot;#000&quot;,&quot;displayUnits&quot;:&quot;Auto&quot;,&quot;showUnits&quot;:0,&quot;decimalPlaces&quot;:1,&quot;decimalPlacesPercentage&quot;:1,&quot;suppressSmallValues&quot;:true,&quot;labelFontSize&quot;:10,&quot;labelFontFamily&quot;:&quot;Calibri, helvetica, arial, sans-serif&quot;,&quot;integratedDifferenceLabel&quot;:1,&quot;labelPercentagePointUnit&quot;:&quot;pp&quot;,&quot;labelBackgroundTransparency&quot;:20,&quot;negativeValuesFormat&quot;:0,&quot;rightAlignNumbers&quot;:false,&quot;rightAlignParenthesisOffsetNormal&quot;:0,&quot;rightAlignParenthesisOffsetBold&quot;:0,&quot;showPercentageInLabel&quot;:false,&quot;sortColumnName&quot;:&quot;previousYear&quot;,&quot;chartSort&quot;:0,&quot;categorySort&quot;:0,&quot;sortReferenceChart&quot;:null,&quot;company&quot;:&quot;Free version&quot;,&quot;expiryDate&quot;:null,&quot;disabledInViewMode&quot;:false,&quot;licenseKey&quot;:&quot;&quot;,&quot;lastLicenseCheck&quot;:&quot;&quot;,&quot;resultCategories&quot;:[],&quot;skippedCategories&quot;:[],&quot;flatResultCategories&quot;:[],&quot;invertedCategories&quot;:[],&quot;userOverrideCategories&quot;:[],&quot;highlightedCategories&quot;:[],&quot;highlightedCategoriesCustomColors&quot;:[],&quot;hasAutoResults&quot;:false,&quot;hasAutoInverts&quot;:false,&quot;userChangedExpandCollapse&quot;:false,&quot;invertedGroups&quot;:[],&quot;groupNames&quot;:{},&quot;groupNamesString&quot;:&quot;&quot;,&quot;allowInteractions&quot;:true,&quot;allowChartChange&quot;:true,&quot;allowSliderChange&quot;:true,&quot;allowVarianceCalculationChange&quot;:true,&quot;allowSortChange&quot;:true,&quot;allowExpandCollapseChange&quot;:true,&quot;allowExpandCollapseRowsChange&quot;:true,&quot;allowExpandCollapseColumnsChange&quot;:true,&quot;allowColumnOrderChange&quot;:true,&quot;focusModeFontZoomPercentage&quot;:150,&quot;enableMeasureDrillThrough&quot;:false,&quot;allowInteractiveCommentBox&quot;:true,&quot;analyticsDataProperty&quot;:0,&quot;showAverageLine&quot;:false,&quot;averageLineStyle&quot;:&quot;8,4&quot;,&quot;averageLineTransparency&quot;:0,&quot;averageLabelShow&quot;:true,&quot;averageLabelHorizontalPosition&quot;:1,&quot;averageLabelVerticalPosition&quot;:1,&quot;averageLabelUnits&quot;:&quot;Auto&quot;,&quot;averageLabelDecimalPlaces&quot;:1,&quot;averageLabelTextOption&quot;:0,&quot;averageLabelText&quot;:&quot;Avg.&quot;,&quot;showConstantLine&quot;:false,&quot;constantLineStyle&quot;:&quot;&quot;,&quot;constantLineValue&quot;:0,&quot;constantLineTransparency&quot;:0,&quot;constantLabelShow&quot;:true,&quot;constantLabelHorizontalPosition&quot;:1,&quot;constantLabelVerticalPosition&quot;:1,&quot;constantLabelUnits&quot;:&quot;Auto&quot;,&quot;constantLabelDecimalPlaces&quot;:1,&quot;constantLabelTextOption&quot;:0,&quot;constantLabelText&quot;:&quot;Const.&quot;,&quot;showMedianLine&quot;:false,&quot;medianLineStyle&quot;:&quot;8,4&quot;,&quot;medianLineTransparency&quot;:0,&quot;medianLabelShow&quot;:true,&quot;medianLabelHorizontalPosition&quot;:1,&quot;medianLabelVerticalPosition&quot;:1,&quot;medianLabelUnits&quot;:&quot;Auto&quot;,&quot;medianLabelDecimalPlaces&quot;:1,&quot;medianLabelTextOption&quot;:0,&quot;medianLabelText&quot;:&quot;Med.&quot;,&quot;showPercentileLine&quot;:false,&quot;percentileLineStyle&quot;:&quot;2,4&quot;,&quot;percentileLinePercent&quot;:90,&quot;percentileLineTransparency&quot;:0,&quot;percentileLabelShow&quot;:true,&quot;percentileLabelHorizontalPosition&quot;:1,&quot;percentileLabelVerticalPosition&quot;:1,&quot;percentileLabelUnits&quot;:&quot;Auto&quot;,&quot;percentileLabelDecimalPlaces&quot;:1,&quot;percentileLabelTextOption&quot;:0,&quot;percentileLabelText&quot;:&quot;Perc.&quot;,&quot;formulaCalculation&quot;:{&quot;formulas&quot;:[],&quot;expressionMappings&quot;:{},&quot;expressionElements&quot;:{},&quot;identityDataPoints&quot;:{}},&quot;showCommentBox&quot;:false,&quot;commentBoxCustomTitleStyle&quot;:false,&quot;commentBoxTitle&quot;:3,&quot;commentBoxTitleFontColor&quot;:&quot;#000&quot;,&quot;commentBoxTitleFontFamily&quot;:&quot;Calibri, helvetica, arial, sans-serif&quot;,&quot;commentBoxTitleFontSize&quot;:18,&quot;commentBoxCustomTextStyle&quot;:false,&quot;commentBoxTextFontColor&quot;:&quot;#000&quot;,&quot;commentBoxTextFontFamily&quot;:&quot;Calibri, helvetica, arial, sans-serif&quot;,&quot;commentBoxTextFontSize&quot;:16,&quot;columnSettingsString&quot;:&quot;{\&quot;actual\&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2,\&quot;hidden\&quot;:false,\&quot;hiddenFromGroups\&quot;:[]}},\&quot;previousYear\&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quot;:{\&quot;invert\&quot;:false,\&quot;scaleGroup\&quot;:1,\&quot;format\&quot;:1,\&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percent\&quot;:{\&quot;invert\&quot;:false,\&quot;scaleGroup\&quot;:1,\&quot;format\&quot;:2,\&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quot;categoryFormatSettingsString&quot;:&quot;&quot;,&quot;invertedTotalCategories&quot;:[],&quot;collapsedCategories&quot;:[],&quot;calculationsString&quot;:&quot;&quot;,&quot;minChartWidth&quot;:140,&quot;measure1Role&quot;:&quot;Values&quot;,&quot;measure2Role&quot;:&quot;PreviousYear&quot;,&quot;measure3Role&quot;:&quot;Plan&quot;,&quot;measure4Role&quot;:&quot;Forecast&quot;,&quot;measure5Role&quot;:&quot;Comments&quot;,&quot;measureRoles&quot;:[&quot;Values&quot;,&quot;PreviousYear&quot;],&quot;enableFiltering&quot;:true,&quot;viewMode&quot;:1,&quot;commentBoxPlacement&quot;:0,&quot;commentBoxSize&quot;:&quot;0.66&quot;,&quot;commentBoxPadding&quot;:10,&quot;commentBoxListHorizontal&quot;:false,&quot;commentBoxItemsMargin&quot;:10,&quot;commentBoxBorderWidth&quot;:0,&quot;commentBoxBorderColor&quot;:&quot;#808080&quot;,&quot;commentBoxBorderRadius&quot;:0,&quot;commentBoxShadow&quot;:false,&quot;commentBoxBackgroundColor&quot;:&quot;#ffffff00&quot;,&quot;commentBoxVarianceIcon&quot;:2,&quot;commentBoxShowVariance&quot;:1,&quot;showCrossTables&quot;:false,&quot;commentMarkersDataProperties&quot;:{},&quot;usedMeasuresCount&quot;:2,&quot;valueScenario&quot;:0,&quot;secondValueScenario&quot;:0,&quot;thirdValueScenario&quot;:0,&quot;fourthValueScenario&quot;:0,&quot;fifthValueScenario&quot;:0,&quot;sixthValueScenario&quot;:0,&quot;seventhValueScenario&quot;:0,&quot;valuePosition&quot;:0,&quot;secondValuePosition&quot;:0,&quot;thirdValuePosition&quot;:0,&quot;fourthValuePosition&quot;:0,&quot;fifthValuePosition&quot;:0,&quot;sixthValuePosition&quot;:0,&quot;seventhValuePosition&quot;:0,&quot;referenceScenario&quot;:1,&quot;secondReferenceScenario&quot;:1,&quot;thirdReferenceScenario&quot;:1,&quot;fourthReferenceScenario&quot;:1,&quot;fifthReferenceScenario&quot;:1,&quot;sixthReferenceScenario&quot;:1,&quot;seventhReferenceScenario&quot;:1,&quot;referencePosition&quot;:null,&quot;secondReferencePosition&quot;:null,&quot;thirdReferencePosition&quot;:null,&quot;fourthReferencePosition&quot;:null,&quot;fifthReferencePosition&quot;:null,&quot;sixthReferencePosition&quot;:null,&quot;seventhReferencePosition&quot;:null,&quot;calculations&quot;:[],&quot;scenarioOptions&quot;:{&quot;value&quot;:{&quot;index&quot;:0,&quot;scenario&quot;:0,&quot;fieldName&quot;:&quot;Total Revenue&quot;,&quot;position&quot;:null},&quot;reference&quot;:{&quot;index&quot;:1,&quot;scenario&quot;:1,&quot;fieldName&quot;:&quot;Total Target&quot;,&quot;position&quot;:null},&quot;secondReference&quot;:{&quot;index&quot;:null,&quot;scenario&quot;:null,&quot;fieldName&quot;:&quot;&quot;,&quot;position&quot;:null},&quot;thirdReference&quot;:{&quot;index&quot;:null,&quot;scenario&quot;:null,&quot;fieldName&quot;:&quot;&quot;,&quot;position&quot;:null},&quot;fourthReference&quot;:{&quot;index&quot;:null,&quot;scenario&quot;:null,&quot;fieldName&quot;:&quot;&quot;,&quot;position&quot;:null},&quot;fifthReference&quot;:{&quot;index&quot;:null,&quot;scenario&quot;:null,&quot;fieldName&quot;:&quot;&quot;,&quot;position&quot;:null},&quot;sixthReference&quot;:{&quot;index&quot;:null,&quot;scenario&quot;:null,&quot;fieldName&quot;:&quot;&quot;,&quot;position&quot;:null},&quot;seventhReference&quot;:{&quot;index&quot;:null,&quot;scenario&quot;:null,&quot;fieldName&quot;:&quot;&quot;,&quot;position&quot;:null},&quot;additionalMeasures&quot;:[],&quot;tooltips&quot;:[],&quot;comments&quot;:[]},&quot;dragStarted&quot;:false}"/>
  </we:properties>
  <we:bindings>
    <we:binding id="tablesPivotTableDataChangeEvent" type="matrix" appref="{67D861CA-0CC2-4A96-BA88-AF06A36AF33E}"/>
  </we:bindings>
  <we:snapshot xmlns:r="http://schemas.openxmlformats.org/officeDocument/2006/relationships" r:embed="rId1"/>
</we:webextension>
</file>

<file path=xl/webextensions/webextension2.xml><?xml version="1.0" encoding="utf-8"?>
<we:webextension xmlns:we="http://schemas.microsoft.com/office/webextensions/webextension/2010/11" id="{D4AB35C3-1D03-4487-98C1-C84C46B881C7}">
  <we:reference id="wa200009404" version="1.0.0.8" store="en-US" storeType="OMEX"/>
  <we:alternateReferences>
    <we:reference id="wa200009404" version="1.0.0.8" store="wa200009404" storeType="OMEX"/>
  </we:alternateReferences>
  <we:properties>
    <we:property name="claude.fileId" value="&quot;576694ca-009f-4e2e-b1e4-9c17fd85fd23&quot;"/>
  </we:properties>
  <we:bindings/>
  <we:snapshot xmlns:r="http://schemas.openxmlformats.org/officeDocument/2006/relationships"/>
</we:webextension>
</file>

<file path=xl/webextensions/webextension3.xml><?xml version="1.0" encoding="utf-8"?>
<we:webextension xmlns:we="http://schemas.microsoft.com/office/webextensions/webextension/2010/11" id="{D8544C57-3DFA-4A5E-9FFB-F3FDF172FEFF}">
  <we:reference id="wa200010215" version="2.0.0.0" store="en-US" storeType="OMEX"/>
  <we:alternateReferences>
    <we:reference id="WA200010215" version="2.0.0.0" store="WA200010215" storeType="OMEX"/>
  </we:alternateReferences>
  <we:properties>
    <we:property name="bps.codex_control.document_id" value="&quot;34d2d6f7-33fa-4d83-b8ab-30b4378bd97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4.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98E12-E65D-4822-9CEF-3C45FC356039}">
  <sheetPr>
    <tabColor rgb="FF5B9BD5"/>
  </sheetPr>
  <dimension ref="A2:K41"/>
  <sheetViews>
    <sheetView showGridLines="0" tabSelected="1" zoomScale="102" zoomScaleNormal="102" workbookViewId="0">
      <selection activeCell="B11" sqref="B11"/>
    </sheetView>
  </sheetViews>
  <sheetFormatPr defaultRowHeight="14.4" x14ac:dyDescent="0.3"/>
  <cols>
    <col min="1" max="7" width="8.88671875" style="4"/>
    <col min="8" max="8" width="49.6640625" style="4" customWidth="1"/>
    <col min="9" max="16384" width="8.88671875" style="4"/>
  </cols>
  <sheetData>
    <row r="2" spans="1:11" ht="15" thickBot="1" x14ac:dyDescent="0.35"/>
    <row r="3" spans="1:11" ht="25.95" customHeight="1" thickBot="1" x14ac:dyDescent="0.35">
      <c r="A3" s="34"/>
      <c r="I3" s="4" t="s">
        <v>11</v>
      </c>
      <c r="J3" s="35"/>
      <c r="K3" s="35"/>
    </row>
    <row r="9" spans="1:11" x14ac:dyDescent="0.3">
      <c r="H9" s="9"/>
    </row>
    <row r="38" spans="2:6" x14ac:dyDescent="0.3">
      <c r="F38" s="4" t="s">
        <v>11</v>
      </c>
    </row>
    <row r="39" spans="2:6" x14ac:dyDescent="0.3">
      <c r="B39" s="4" t="s">
        <v>36</v>
      </c>
    </row>
    <row r="40" spans="2:6" x14ac:dyDescent="0.3">
      <c r="D40" s="9"/>
    </row>
    <row r="41" spans="2:6" ht="15.6" x14ac:dyDescent="0.3">
      <c r="D41" s="7"/>
    </row>
  </sheetData>
  <mergeCells count="1">
    <mergeCell ref="J3: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D9E98-F825-485A-A040-FFAFDEA1B5B6}">
  <sheetPr>
    <tabColor rgb="FF5B9BD5"/>
  </sheetPr>
  <dimension ref="B3:I41"/>
  <sheetViews>
    <sheetView showGridLines="0" zoomScale="94" zoomScaleNormal="94" workbookViewId="0">
      <selection activeCell="B9" sqref="B9"/>
    </sheetView>
  </sheetViews>
  <sheetFormatPr defaultRowHeight="14.4" x14ac:dyDescent="0.3"/>
  <cols>
    <col min="1" max="7" width="8.88671875" style="4"/>
    <col min="8" max="8" width="49.6640625" style="4" customWidth="1"/>
    <col min="9" max="16384" width="8.88671875" style="4"/>
  </cols>
  <sheetData>
    <row r="3" spans="9:9" ht="25.95" customHeight="1" x14ac:dyDescent="0.3">
      <c r="I3" s="4" t="s">
        <v>11</v>
      </c>
    </row>
    <row r="38" spans="2:6" x14ac:dyDescent="0.3">
      <c r="F38" s="4" t="s">
        <v>11</v>
      </c>
    </row>
    <row r="39" spans="2:6" x14ac:dyDescent="0.3">
      <c r="B39" s="4" t="s">
        <v>36</v>
      </c>
    </row>
    <row r="40" spans="2:6" x14ac:dyDescent="0.3">
      <c r="D40" s="9"/>
    </row>
    <row r="41" spans="2:6" ht="15.6" x14ac:dyDescent="0.3">
      <c r="D41" s="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D648B-2CD9-42F6-B7D5-309099832596}">
  <dimension ref="B6:W54"/>
  <sheetViews>
    <sheetView topLeftCell="G1" zoomScale="82" zoomScaleNormal="82" workbookViewId="0">
      <selection activeCell="W7" sqref="W7"/>
    </sheetView>
  </sheetViews>
  <sheetFormatPr defaultRowHeight="14.4" x14ac:dyDescent="0.3"/>
  <cols>
    <col min="2" max="2" width="13" bestFit="1" customWidth="1"/>
    <col min="3" max="3" width="13.109375" bestFit="1" customWidth="1"/>
    <col min="4" max="4" width="11" bestFit="1" customWidth="1"/>
    <col min="8" max="8" width="10.88671875" bestFit="1" customWidth="1"/>
    <col min="16" max="16" width="13.109375" bestFit="1" customWidth="1"/>
    <col min="17" max="18" width="11" bestFit="1" customWidth="1"/>
    <col min="20" max="20" width="13" bestFit="1" customWidth="1"/>
    <col min="21" max="21" width="14.109375" bestFit="1" customWidth="1"/>
    <col min="22" max="22" width="13" bestFit="1" customWidth="1"/>
    <col min="23" max="23" width="13.109375" bestFit="1" customWidth="1"/>
  </cols>
  <sheetData>
    <row r="6" spans="2:23" x14ac:dyDescent="0.3">
      <c r="B6" s="12" t="s">
        <v>12</v>
      </c>
      <c r="C6" s="13" t="s">
        <v>0</v>
      </c>
      <c r="D6" s="13" t="s">
        <v>10</v>
      </c>
      <c r="F6" s="13" t="str">
        <f>B6</f>
        <v>Row Labels</v>
      </c>
      <c r="G6" s="13" t="str">
        <f>C6</f>
        <v>Total Revenue</v>
      </c>
      <c r="H6" s="13" t="str">
        <f>D6</f>
        <v>Total Target</v>
      </c>
      <c r="I6" t="s">
        <v>40</v>
      </c>
      <c r="K6" t="str">
        <f>F6</f>
        <v>Row Labels</v>
      </c>
      <c r="L6" t="s">
        <v>43</v>
      </c>
      <c r="P6" s="13" t="s">
        <v>0</v>
      </c>
      <c r="Q6" s="13" t="s">
        <v>10</v>
      </c>
      <c r="R6" t="s">
        <v>43</v>
      </c>
      <c r="T6" s="5" t="s">
        <v>12</v>
      </c>
      <c r="U6" t="s">
        <v>46</v>
      </c>
      <c r="V6" s="5" t="s">
        <v>12</v>
      </c>
      <c r="W6" t="s">
        <v>0</v>
      </c>
    </row>
    <row r="7" spans="2:23" x14ac:dyDescent="0.3">
      <c r="B7" s="14" t="s">
        <v>28</v>
      </c>
      <c r="C7" s="15">
        <v>40299.57999999998</v>
      </c>
      <c r="D7" s="15">
        <v>58884</v>
      </c>
      <c r="F7" s="13" t="str">
        <f t="shared" ref="F7:F18" si="0">B7</f>
        <v>Jan</v>
      </c>
      <c r="G7" s="15">
        <f t="shared" ref="G7:G18" si="1">C7</f>
        <v>40299.57999999998</v>
      </c>
      <c r="H7" s="15">
        <f t="shared" ref="H7:H18" si="2">D7</f>
        <v>58884</v>
      </c>
      <c r="I7" t="str">
        <f t="shared" ref="I7:I18" si="3">IF(G7=Large_1,G7,IF(G7=Large_2,G7,""))</f>
        <v/>
      </c>
      <c r="K7" t="str">
        <f t="shared" ref="K7:K18" si="4">F7</f>
        <v>Jan</v>
      </c>
      <c r="L7" s="11">
        <f>(G7-H7)/H7</f>
        <v>-0.31561069220841009</v>
      </c>
      <c r="P7" s="15">
        <v>526187</v>
      </c>
      <c r="Q7" s="15">
        <v>600510</v>
      </c>
      <c r="R7" s="10" t="str">
        <f>S9</f>
        <v>▲-12.4%</v>
      </c>
      <c r="T7" s="6" t="s">
        <v>44</v>
      </c>
      <c r="U7" s="10">
        <v>0.7149649995008911</v>
      </c>
      <c r="V7" s="6" t="s">
        <v>44</v>
      </c>
      <c r="W7" s="15">
        <v>3894278.1300000134</v>
      </c>
    </row>
    <row r="8" spans="2:23" x14ac:dyDescent="0.3">
      <c r="B8" s="14" t="s">
        <v>27</v>
      </c>
      <c r="C8" s="15">
        <v>44995.01</v>
      </c>
      <c r="D8" s="15">
        <v>48921</v>
      </c>
      <c r="F8" s="13" t="str">
        <f t="shared" si="0"/>
        <v>Feb</v>
      </c>
      <c r="G8" s="15">
        <f t="shared" si="1"/>
        <v>44995.01</v>
      </c>
      <c r="H8" s="15">
        <f t="shared" si="2"/>
        <v>48921</v>
      </c>
      <c r="I8" t="str">
        <f t="shared" si="3"/>
        <v/>
      </c>
      <c r="K8" t="str">
        <f t="shared" si="4"/>
        <v>Feb</v>
      </c>
      <c r="L8" s="11">
        <f t="shared" ref="L8:L18" si="5">(G8-H8)/H8</f>
        <v>-8.0251630179268577E-2</v>
      </c>
      <c r="T8" s="6" t="s">
        <v>45</v>
      </c>
      <c r="U8" s="10">
        <v>0.2850350004991079</v>
      </c>
      <c r="V8" s="6" t="s">
        <v>45</v>
      </c>
      <c r="W8" s="15">
        <v>1552531.3400000015</v>
      </c>
    </row>
    <row r="9" spans="2:23" x14ac:dyDescent="0.3">
      <c r="B9" s="14" t="s">
        <v>31</v>
      </c>
      <c r="C9" s="15">
        <v>42429.639999999992</v>
      </c>
      <c r="D9" s="15">
        <v>40240</v>
      </c>
      <c r="F9" s="13" t="str">
        <f t="shared" si="0"/>
        <v>Mar</v>
      </c>
      <c r="G9" s="15">
        <f t="shared" si="1"/>
        <v>42429.639999999992</v>
      </c>
      <c r="H9" s="15">
        <f t="shared" si="2"/>
        <v>40240</v>
      </c>
      <c r="I9" t="str">
        <f t="shared" si="3"/>
        <v/>
      </c>
      <c r="K9" t="str">
        <f t="shared" si="4"/>
        <v>Mar</v>
      </c>
      <c r="L9" s="11">
        <f t="shared" si="5"/>
        <v>5.4414512922465012E-2</v>
      </c>
      <c r="R9" t="str">
        <f>IF((P7-' Analysis 2 '!Q7)/Q7 &lt;0,"▲"&amp;TEXT((P7-Q7)/Q7,"+0.0%;-0.0%"),"▼")</f>
        <v>▲-12.4%</v>
      </c>
      <c r="S9" t="str">
        <f>IF((P7-Q7)/Q7 &lt;0,"▲"&amp;TEXT((P7-Q7)/Q7,"+0.0%;-0.0%"),"▼")</f>
        <v>▲-12.4%</v>
      </c>
      <c r="T9" s="6" t="s">
        <v>23</v>
      </c>
      <c r="U9" s="10">
        <v>1</v>
      </c>
      <c r="V9" s="6" t="s">
        <v>23</v>
      </c>
      <c r="W9" s="1">
        <v>5446809.4700000202</v>
      </c>
    </row>
    <row r="10" spans="2:23" x14ac:dyDescent="0.3">
      <c r="B10" s="14" t="s">
        <v>24</v>
      </c>
      <c r="C10" s="15">
        <v>44533.37000000001</v>
      </c>
      <c r="D10" s="15">
        <v>51463</v>
      </c>
      <c r="F10" s="13" t="str">
        <f t="shared" si="0"/>
        <v>Apr</v>
      </c>
      <c r="G10" s="15">
        <f t="shared" si="1"/>
        <v>44533.37000000001</v>
      </c>
      <c r="H10" s="15">
        <f t="shared" si="2"/>
        <v>51463</v>
      </c>
      <c r="I10" t="str">
        <f t="shared" si="3"/>
        <v/>
      </c>
      <c r="K10" t="str">
        <f t="shared" si="4"/>
        <v>Apr</v>
      </c>
      <c r="L10" s="11">
        <f t="shared" si="5"/>
        <v>-0.13465266307832793</v>
      </c>
    </row>
    <row r="11" spans="2:23" x14ac:dyDescent="0.3">
      <c r="B11" s="14" t="s">
        <v>32</v>
      </c>
      <c r="C11" s="15">
        <v>47986.959999999985</v>
      </c>
      <c r="D11" s="15">
        <v>42829</v>
      </c>
      <c r="F11" s="13" t="str">
        <f t="shared" si="0"/>
        <v>May</v>
      </c>
      <c r="G11" s="15">
        <f t="shared" si="1"/>
        <v>47986.959999999985</v>
      </c>
      <c r="H11" s="15">
        <f t="shared" si="2"/>
        <v>42829</v>
      </c>
      <c r="I11" s="15">
        <f t="shared" si="3"/>
        <v>47986.959999999985</v>
      </c>
      <c r="K11" t="str">
        <f t="shared" si="4"/>
        <v>May</v>
      </c>
      <c r="L11" s="11">
        <f t="shared" si="5"/>
        <v>0.12043148334072672</v>
      </c>
      <c r="R11" t="str">
        <f>IF((P7-Q7)/Q7 &lt;0,"▲"&amp;TEXT((P7-Q7)/Q7,"+0.0%;-0.0%"),"▼")</f>
        <v>▲-12.4%</v>
      </c>
    </row>
    <row r="12" spans="2:23" x14ac:dyDescent="0.3">
      <c r="B12" s="14" t="s">
        <v>30</v>
      </c>
      <c r="C12" s="15">
        <v>47623.309999999983</v>
      </c>
      <c r="D12" s="15">
        <v>41880</v>
      </c>
      <c r="F12" s="13" t="str">
        <f t="shared" si="0"/>
        <v>Jun</v>
      </c>
      <c r="G12" s="15">
        <f t="shared" si="1"/>
        <v>47623.309999999983</v>
      </c>
      <c r="H12" s="15">
        <f t="shared" si="2"/>
        <v>41880</v>
      </c>
      <c r="I12" s="15" t="str">
        <f t="shared" si="3"/>
        <v/>
      </c>
      <c r="K12" t="str">
        <f t="shared" si="4"/>
        <v>Jun</v>
      </c>
      <c r="L12" s="11">
        <f t="shared" si="5"/>
        <v>0.13713729703915911</v>
      </c>
    </row>
    <row r="13" spans="2:23" x14ac:dyDescent="0.3">
      <c r="B13" s="14" t="s">
        <v>29</v>
      </c>
      <c r="C13" s="15">
        <v>37578.869999999988</v>
      </c>
      <c r="D13" s="15">
        <v>57096</v>
      </c>
      <c r="F13" s="13" t="str">
        <f t="shared" si="0"/>
        <v>Jul</v>
      </c>
      <c r="G13" s="15">
        <f t="shared" si="1"/>
        <v>37578.869999999988</v>
      </c>
      <c r="H13" s="15">
        <f t="shared" si="2"/>
        <v>57096</v>
      </c>
      <c r="I13" s="15" t="str">
        <f t="shared" si="3"/>
        <v/>
      </c>
      <c r="K13" t="str">
        <f t="shared" si="4"/>
        <v>Jul</v>
      </c>
      <c r="L13" s="11">
        <f t="shared" si="5"/>
        <v>-0.3418300756620431</v>
      </c>
    </row>
    <row r="14" spans="2:23" x14ac:dyDescent="0.3">
      <c r="B14" s="14" t="s">
        <v>25</v>
      </c>
      <c r="C14" s="15">
        <v>47345.999999999993</v>
      </c>
      <c r="D14" s="15">
        <v>49810</v>
      </c>
      <c r="F14" s="13" t="str">
        <f t="shared" si="0"/>
        <v>Aug</v>
      </c>
      <c r="G14" s="15">
        <f t="shared" si="1"/>
        <v>47345.999999999993</v>
      </c>
      <c r="H14" s="15">
        <f t="shared" si="2"/>
        <v>49810</v>
      </c>
      <c r="I14" s="15" t="str">
        <f t="shared" si="3"/>
        <v/>
      </c>
      <c r="K14" t="str">
        <f t="shared" si="4"/>
        <v>Aug</v>
      </c>
      <c r="L14" s="11">
        <f t="shared" si="5"/>
        <v>-4.9467978317607054E-2</v>
      </c>
    </row>
    <row r="15" spans="2:23" x14ac:dyDescent="0.3">
      <c r="B15" s="14" t="s">
        <v>35</v>
      </c>
      <c r="C15" s="15">
        <v>37484.260000000009</v>
      </c>
      <c r="D15" s="15">
        <v>48154</v>
      </c>
      <c r="F15" s="13" t="str">
        <f t="shared" si="0"/>
        <v>Sep</v>
      </c>
      <c r="G15" s="15">
        <f t="shared" si="1"/>
        <v>37484.260000000009</v>
      </c>
      <c r="H15" s="15">
        <f t="shared" si="2"/>
        <v>48154</v>
      </c>
      <c r="I15" s="15" t="str">
        <f t="shared" si="3"/>
        <v/>
      </c>
      <c r="K15" t="str">
        <f t="shared" si="4"/>
        <v>Sep</v>
      </c>
      <c r="L15" s="11">
        <f t="shared" si="5"/>
        <v>-0.22157536237903375</v>
      </c>
    </row>
    <row r="16" spans="2:23" x14ac:dyDescent="0.3">
      <c r="B16" s="14" t="s">
        <v>34</v>
      </c>
      <c r="C16" s="15">
        <v>47193.959999999992</v>
      </c>
      <c r="D16" s="15">
        <v>58298</v>
      </c>
      <c r="F16" s="13" t="str">
        <f t="shared" si="0"/>
        <v>Oct</v>
      </c>
      <c r="G16" s="15">
        <f t="shared" si="1"/>
        <v>47193.959999999992</v>
      </c>
      <c r="H16" s="15">
        <f t="shared" si="2"/>
        <v>58298</v>
      </c>
      <c r="I16" s="15" t="str">
        <f t="shared" si="3"/>
        <v/>
      </c>
      <c r="K16" t="str">
        <f t="shared" si="4"/>
        <v>Oct</v>
      </c>
      <c r="L16" s="11">
        <f t="shared" si="5"/>
        <v>-0.1904703420357475</v>
      </c>
    </row>
    <row r="17" spans="2:12" x14ac:dyDescent="0.3">
      <c r="B17" s="14" t="s">
        <v>33</v>
      </c>
      <c r="C17" s="15">
        <v>50601.920000000013</v>
      </c>
      <c r="D17" s="15">
        <v>52960</v>
      </c>
      <c r="F17" s="13" t="str">
        <f t="shared" si="0"/>
        <v>Nov</v>
      </c>
      <c r="G17" s="15">
        <f t="shared" si="1"/>
        <v>50601.920000000013</v>
      </c>
      <c r="H17" s="15">
        <f t="shared" si="2"/>
        <v>52960</v>
      </c>
      <c r="I17" s="15">
        <f t="shared" si="3"/>
        <v>50601.920000000013</v>
      </c>
      <c r="K17" t="str">
        <f t="shared" si="4"/>
        <v>Nov</v>
      </c>
      <c r="L17" s="11">
        <f t="shared" si="5"/>
        <v>-4.4525679758307915E-2</v>
      </c>
    </row>
    <row r="18" spans="2:12" x14ac:dyDescent="0.3">
      <c r="B18" s="14" t="s">
        <v>26</v>
      </c>
      <c r="C18" s="15">
        <v>38114.119999999966</v>
      </c>
      <c r="D18" s="15">
        <v>49975</v>
      </c>
      <c r="F18" s="13" t="str">
        <f t="shared" si="0"/>
        <v>Dec</v>
      </c>
      <c r="G18" s="15">
        <f t="shared" si="1"/>
        <v>38114.119999999966</v>
      </c>
      <c r="H18" s="15">
        <f t="shared" si="2"/>
        <v>49975</v>
      </c>
      <c r="I18" s="15" t="str">
        <f t="shared" si="3"/>
        <v/>
      </c>
      <c r="K18" t="str">
        <f t="shared" si="4"/>
        <v>Dec</v>
      </c>
      <c r="L18" s="11">
        <f t="shared" si="5"/>
        <v>-0.23733626813406772</v>
      </c>
    </row>
    <row r="19" spans="2:12" x14ac:dyDescent="0.3">
      <c r="I19" s="15"/>
    </row>
    <row r="20" spans="2:12" x14ac:dyDescent="0.3">
      <c r="I20" s="15"/>
      <c r="J20">
        <v>1</v>
      </c>
      <c r="K20" s="15">
        <f>LARGE($G$7:$G$18,J20)</f>
        <v>50601.920000000013</v>
      </c>
      <c r="L20" t="s">
        <v>41</v>
      </c>
    </row>
    <row r="21" spans="2:12" x14ac:dyDescent="0.3">
      <c r="I21" s="15"/>
      <c r="J21">
        <v>2</v>
      </c>
      <c r="K21" s="15">
        <f>LARGE($G$7:$G$18,J21)</f>
        <v>47986.959999999985</v>
      </c>
      <c r="L21" t="s">
        <v>42</v>
      </c>
    </row>
    <row r="22" spans="2:12" x14ac:dyDescent="0.3">
      <c r="I22" s="15"/>
    </row>
    <row r="52" spans="3:3" x14ac:dyDescent="0.3">
      <c r="C52" s="5" t="s">
        <v>12</v>
      </c>
    </row>
    <row r="53" spans="3:3" x14ac:dyDescent="0.3">
      <c r="C53" s="6" t="s">
        <v>14</v>
      </c>
    </row>
    <row r="54" spans="3:3" x14ac:dyDescent="0.3">
      <c r="C54" s="6" t="s">
        <v>23</v>
      </c>
    </row>
  </sheetData>
  <conditionalFormatting sqref="R9">
    <cfRule type="expression" dxfId="40" priority="6">
      <formula>$R$7&gt;0</formula>
    </cfRule>
    <cfRule type="expression" priority="4">
      <formula>$R$7&lt;0</formula>
    </cfRule>
    <cfRule type="expression" dxfId="41" priority="3">
      <formula>$R$7&gt;0</formula>
    </cfRule>
    <cfRule type="expression" dxfId="39" priority="2">
      <formula>$R$9&gt;0</formula>
    </cfRule>
  </conditionalFormatting>
  <conditionalFormatting sqref="R7">
    <cfRule type="expression" dxfId="38" priority="5">
      <formula>$R$7&lt;0</formula>
    </cfRule>
    <cfRule type="expression" dxfId="37" priority="1">
      <formula>$R$7&lt;0</formula>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5D4B7-B2E3-4C4C-8E3F-D6CF93C49E8D}">
  <dimension ref="B4:S18"/>
  <sheetViews>
    <sheetView showGridLines="0" topLeftCell="L1" zoomScaleNormal="100" workbookViewId="0">
      <selection activeCell="G16" sqref="G16"/>
    </sheetView>
  </sheetViews>
  <sheetFormatPr defaultRowHeight="14.4" x14ac:dyDescent="0.3"/>
  <cols>
    <col min="1" max="1" width="9.33203125" bestFit="1" customWidth="1"/>
    <col min="2" max="2" width="13.109375" bestFit="1" customWidth="1"/>
    <col min="3" max="3" width="6.21875" bestFit="1" customWidth="1"/>
    <col min="4" max="4" width="12.109375" bestFit="1" customWidth="1"/>
    <col min="5" max="5" width="14.109375" bestFit="1" customWidth="1"/>
    <col min="6" max="6" width="11.5546875" bestFit="1" customWidth="1"/>
    <col min="7" max="7" width="11.77734375" bestFit="1" customWidth="1"/>
    <col min="8" max="8" width="11.33203125" bestFit="1" customWidth="1"/>
    <col min="9" max="9" width="8.44140625" bestFit="1" customWidth="1"/>
    <col min="10" max="10" width="12.77734375" bestFit="1" customWidth="1"/>
    <col min="11" max="11" width="17" bestFit="1" customWidth="1"/>
    <col min="12" max="12" width="11" bestFit="1" customWidth="1"/>
    <col min="14" max="14" width="13.5546875" bestFit="1" customWidth="1"/>
    <col min="15" max="15" width="13.109375" bestFit="1" customWidth="1"/>
    <col min="16" max="17" width="11" bestFit="1" customWidth="1"/>
    <col min="18" max="18" width="12.5546875" bestFit="1" customWidth="1"/>
    <col min="19" max="19" width="13.109375" bestFit="1" customWidth="1"/>
    <col min="20" max="24" width="11" bestFit="1" customWidth="1"/>
  </cols>
  <sheetData>
    <row r="4" spans="2:19" x14ac:dyDescent="0.3">
      <c r="B4" t="s">
        <v>0</v>
      </c>
      <c r="C4" t="s">
        <v>1</v>
      </c>
      <c r="D4" t="s">
        <v>2</v>
      </c>
      <c r="E4" t="s">
        <v>3</v>
      </c>
      <c r="F4" t="s">
        <v>4</v>
      </c>
      <c r="G4" t="s">
        <v>5</v>
      </c>
      <c r="H4" t="s">
        <v>6</v>
      </c>
      <c r="I4" t="s">
        <v>7</v>
      </c>
      <c r="J4" t="s">
        <v>8</v>
      </c>
      <c r="K4" t="s">
        <v>9</v>
      </c>
      <c r="L4" t="s">
        <v>10</v>
      </c>
      <c r="N4" s="5" t="s">
        <v>12</v>
      </c>
      <c r="O4" t="s">
        <v>0</v>
      </c>
      <c r="P4" t="s">
        <v>10</v>
      </c>
      <c r="R4" s="5" t="s">
        <v>12</v>
      </c>
      <c r="S4" t="s">
        <v>0</v>
      </c>
    </row>
    <row r="5" spans="2:19" x14ac:dyDescent="0.3">
      <c r="B5" s="8">
        <v>5446809.4700000202</v>
      </c>
      <c r="C5" s="8">
        <v>3149297.4099999927</v>
      </c>
      <c r="D5" s="8">
        <v>2297512.0600000275</v>
      </c>
      <c r="E5" s="2">
        <v>0.42180878047126164</v>
      </c>
      <c r="F5" s="8">
        <v>20000</v>
      </c>
      <c r="G5" s="8">
        <v>438297.51000000123</v>
      </c>
      <c r="H5" s="2">
        <v>8.0468669303389667E-2</v>
      </c>
      <c r="I5" s="3">
        <v>100</v>
      </c>
      <c r="J5" s="8">
        <v>606148</v>
      </c>
      <c r="K5" s="8">
        <v>48662</v>
      </c>
      <c r="L5" s="8">
        <v>5254990</v>
      </c>
      <c r="N5" s="6" t="s">
        <v>13</v>
      </c>
      <c r="O5" s="1">
        <v>546574.63</v>
      </c>
      <c r="P5" s="1">
        <v>422011</v>
      </c>
      <c r="R5" s="6" t="s">
        <v>28</v>
      </c>
      <c r="S5" s="1">
        <v>444162.52</v>
      </c>
    </row>
    <row r="6" spans="2:19" x14ac:dyDescent="0.3">
      <c r="N6" s="6" t="s">
        <v>14</v>
      </c>
      <c r="O6" s="1">
        <v>526187</v>
      </c>
      <c r="P6" s="1">
        <v>600510</v>
      </c>
      <c r="R6" s="6" t="s">
        <v>27</v>
      </c>
      <c r="S6" s="1">
        <v>423741.52</v>
      </c>
    </row>
    <row r="7" spans="2:19" x14ac:dyDescent="0.3">
      <c r="N7" s="6" t="s">
        <v>15</v>
      </c>
      <c r="O7" s="1">
        <v>548423.81999999995</v>
      </c>
      <c r="P7" s="1">
        <v>418186</v>
      </c>
      <c r="R7" s="6" t="s">
        <v>31</v>
      </c>
      <c r="S7" s="1">
        <v>468344.26999999955</v>
      </c>
    </row>
    <row r="8" spans="2:19" x14ac:dyDescent="0.3">
      <c r="N8" s="6" t="s">
        <v>16</v>
      </c>
      <c r="O8" s="1">
        <v>545095.25999999989</v>
      </c>
      <c r="P8" s="1">
        <v>419431</v>
      </c>
      <c r="R8" s="6" t="s">
        <v>24</v>
      </c>
      <c r="S8" s="1">
        <v>448652.76</v>
      </c>
    </row>
    <row r="9" spans="2:19" x14ac:dyDescent="0.3">
      <c r="D9" t="s">
        <v>37</v>
      </c>
      <c r="E9" t="s">
        <v>38</v>
      </c>
      <c r="F9" t="s">
        <v>39</v>
      </c>
      <c r="N9" s="6" t="s">
        <v>17</v>
      </c>
      <c r="O9" s="1">
        <v>536475.9</v>
      </c>
      <c r="P9" s="1">
        <v>601307</v>
      </c>
      <c r="R9" s="6" t="s">
        <v>32</v>
      </c>
      <c r="S9" s="1">
        <v>480720.64000000013</v>
      </c>
    </row>
    <row r="10" spans="2:19" x14ac:dyDescent="0.3">
      <c r="D10">
        <f>GETPIVOTDATA("[Measures].[Total Revenue]",$B$4)</f>
        <v>5446809.4700000202</v>
      </c>
      <c r="E10">
        <f>GETPIVOTDATA("[Measures].[Total Target]",$B$4)</f>
        <v>5254990</v>
      </c>
      <c r="F10" s="10">
        <f>(D10-E10)</f>
        <v>191819.47000002023</v>
      </c>
      <c r="N10" s="6" t="s">
        <v>18</v>
      </c>
      <c r="O10" s="1">
        <v>547475.30000000005</v>
      </c>
      <c r="P10" s="1">
        <v>646080</v>
      </c>
      <c r="R10" s="6" t="s">
        <v>30</v>
      </c>
      <c r="S10" s="1">
        <v>455501.13999999996</v>
      </c>
    </row>
    <row r="11" spans="2:19" x14ac:dyDescent="0.3">
      <c r="N11" s="6" t="s">
        <v>19</v>
      </c>
      <c r="O11" s="1">
        <v>565168.15000000014</v>
      </c>
      <c r="P11" s="1">
        <v>445958</v>
      </c>
      <c r="R11" s="6" t="s">
        <v>29</v>
      </c>
      <c r="S11" s="1">
        <v>433725.86000000057</v>
      </c>
    </row>
    <row r="12" spans="2:19" x14ac:dyDescent="0.3">
      <c r="N12" s="6" t="s">
        <v>20</v>
      </c>
      <c r="O12" s="1">
        <v>536180.92999999993</v>
      </c>
      <c r="P12" s="1">
        <v>711271</v>
      </c>
      <c r="R12" s="6" t="s">
        <v>25</v>
      </c>
      <c r="S12" s="1">
        <v>485766.24999999977</v>
      </c>
    </row>
    <row r="13" spans="2:19" x14ac:dyDescent="0.3">
      <c r="N13" s="6" t="s">
        <v>21</v>
      </c>
      <c r="O13" s="1">
        <v>537047.06000000006</v>
      </c>
      <c r="P13" s="1">
        <v>485684</v>
      </c>
      <c r="R13" s="6" t="s">
        <v>35</v>
      </c>
      <c r="S13" s="1">
        <v>443447.4300000004</v>
      </c>
    </row>
    <row r="14" spans="2:19" x14ac:dyDescent="0.3">
      <c r="N14" s="6" t="s">
        <v>22</v>
      </c>
      <c r="O14" s="1">
        <v>558181.42000000004</v>
      </c>
      <c r="P14" s="1">
        <v>504552</v>
      </c>
      <c r="R14" s="6" t="s">
        <v>34</v>
      </c>
      <c r="S14" s="1">
        <v>458984.37999999971</v>
      </c>
    </row>
    <row r="15" spans="2:19" x14ac:dyDescent="0.3">
      <c r="N15" s="6" t="s">
        <v>23</v>
      </c>
      <c r="O15" s="1">
        <v>5446809.4700000202</v>
      </c>
      <c r="P15" s="1">
        <v>5254990</v>
      </c>
      <c r="R15" s="6" t="s">
        <v>33</v>
      </c>
      <c r="S15" s="1">
        <v>462537.40999999939</v>
      </c>
    </row>
    <row r="16" spans="2:19" x14ac:dyDescent="0.3">
      <c r="E16" s="8">
        <f>B5</f>
        <v>5446809.4700000202</v>
      </c>
      <c r="F16" s="8">
        <f>L5</f>
        <v>5254990</v>
      </c>
      <c r="G16" s="11" t="str">
        <f>IF((E16-F16)/L5&gt;0,"▲"&amp;TEXT((E16-F16)/L5,"+0.0%;-0.0%"),"▼"&amp;TEXT((E16-F16)/L5,"+0.0%;-0.0%"))</f>
        <v>▲+3.7%</v>
      </c>
      <c r="H16" s="10">
        <f>(E16-F16)/L5</f>
        <v>3.6502347292767488E-2</v>
      </c>
      <c r="R16" s="6" t="s">
        <v>26</v>
      </c>
      <c r="S16" s="1">
        <v>441225.2900000001</v>
      </c>
    </row>
    <row r="17" spans="5:19" x14ac:dyDescent="0.3">
      <c r="R17" s="6" t="s">
        <v>23</v>
      </c>
      <c r="S17" s="1">
        <v>5446809.4700000202</v>
      </c>
    </row>
    <row r="18" spans="5:19" x14ac:dyDescent="0.3">
      <c r="E18" s="8"/>
    </row>
  </sheetData>
  <conditionalFormatting sqref="G16">
    <cfRule type="expression" dxfId="44" priority="1">
      <formula>$G$16&gt;0</formula>
    </cfRule>
  </conditionalFormatting>
  <conditionalFormatting sqref="H16">
    <cfRule type="expression" dxfId="43" priority="2">
      <formula>$H$16&gt;0</formula>
    </cfRule>
    <cfRule type="expression" dxfId="42" priority="3">
      <formula>$G$16&lt;0</formula>
    </cfRule>
  </conditionalFormatting>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F7C9EE02-42E1-4005-9D12-6889AFFD525C}">
      <x15:webExtensions xmlns:xm="http://schemas.microsoft.com/office/excel/2006/main">
        <x15:webExtension appRef="{67D861CA-0CC2-4A96-BA88-AF06A36AF33E}">
          <xm:f>'analysis 1'!$N$4:$P$15</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E71E-3A10-4B6A-9FAC-E8D93CB8C2F3}">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AC6C-3392-4648-89E6-4E7F062CE0C0}">
  <dimension ref="B3:N38"/>
  <sheetViews>
    <sheetView showGridLines="0" workbookViewId="0">
      <selection activeCell="C3" sqref="C3:D4"/>
    </sheetView>
  </sheetViews>
  <sheetFormatPr defaultRowHeight="14.4" x14ac:dyDescent="0.3"/>
  <cols>
    <col min="5" max="14" width="1.6640625" customWidth="1"/>
  </cols>
  <sheetData>
    <row r="3" spans="2:13" x14ac:dyDescent="0.3">
      <c r="B3" s="10"/>
      <c r="C3" t="s">
        <v>44</v>
      </c>
      <c r="D3" s="10" t="str">
        <f>' Analysis 2 '!V7</f>
        <v>Weekday</v>
      </c>
    </row>
    <row r="4" spans="2:13" x14ac:dyDescent="0.3">
      <c r="B4" s="10"/>
      <c r="C4" t="s">
        <v>45</v>
      </c>
      <c r="D4" s="10" t="str">
        <f>' Analysis 2 '!V8</f>
        <v>Weekend</v>
      </c>
    </row>
    <row r="7" spans="2:13" ht="15" thickBot="1" x14ac:dyDescent="0.35">
      <c r="D7" s="25"/>
      <c r="E7" s="26"/>
      <c r="F7" s="26"/>
      <c r="G7" s="26"/>
      <c r="H7" s="26"/>
      <c r="I7" s="26"/>
      <c r="J7" s="26"/>
      <c r="K7" s="26"/>
      <c r="L7" s="26"/>
      <c r="M7" s="27"/>
    </row>
    <row r="8" spans="2:13" ht="15" thickBot="1" x14ac:dyDescent="0.35">
      <c r="D8" s="28"/>
      <c r="E8" s="29"/>
      <c r="F8" s="29"/>
      <c r="G8" s="29"/>
      <c r="H8" s="29"/>
      <c r="I8" s="29"/>
      <c r="J8" s="29"/>
      <c r="K8" s="29"/>
      <c r="L8" s="29"/>
      <c r="M8" s="30"/>
    </row>
    <row r="9" spans="2:13" ht="15" thickBot="1" x14ac:dyDescent="0.35">
      <c r="D9" s="28"/>
      <c r="E9" s="29"/>
      <c r="F9" s="29"/>
      <c r="G9" s="29"/>
      <c r="H9" s="29"/>
      <c r="I9" s="29"/>
      <c r="J9" s="29"/>
      <c r="K9" s="29"/>
      <c r="L9" s="29"/>
      <c r="M9" s="30"/>
    </row>
    <row r="10" spans="2:13" ht="15" thickBot="1" x14ac:dyDescent="0.35">
      <c r="D10" s="28"/>
      <c r="E10" s="29"/>
      <c r="F10" s="29"/>
      <c r="G10" s="29"/>
      <c r="H10" s="29"/>
      <c r="I10" s="29"/>
      <c r="J10" s="29"/>
      <c r="K10" s="29"/>
      <c r="L10" s="29"/>
      <c r="M10" s="30"/>
    </row>
    <row r="11" spans="2:13" ht="15" thickBot="1" x14ac:dyDescent="0.35">
      <c r="D11" s="28"/>
      <c r="E11" s="29"/>
      <c r="F11" s="29"/>
      <c r="G11" s="29"/>
      <c r="H11" s="29"/>
      <c r="I11" s="29"/>
      <c r="J11" s="29"/>
      <c r="K11" s="29"/>
      <c r="L11" s="29"/>
      <c r="M11" s="30"/>
    </row>
    <row r="12" spans="2:13" ht="15" thickBot="1" x14ac:dyDescent="0.35">
      <c r="D12" s="28"/>
      <c r="E12" s="29"/>
      <c r="F12" s="29"/>
      <c r="G12" s="29"/>
      <c r="H12" s="29"/>
      <c r="I12" s="29"/>
      <c r="J12" s="29"/>
      <c r="K12" s="29"/>
      <c r="L12" s="29"/>
      <c r="M12" s="30"/>
    </row>
    <row r="13" spans="2:13" ht="15" thickBot="1" x14ac:dyDescent="0.35">
      <c r="D13" s="28"/>
      <c r="E13" s="29"/>
      <c r="F13" s="29"/>
      <c r="G13" s="29"/>
      <c r="H13" s="29"/>
      <c r="I13" s="29"/>
      <c r="J13" s="29"/>
      <c r="K13" s="29"/>
      <c r="L13" s="29"/>
      <c r="M13" s="30"/>
    </row>
    <row r="14" spans="2:13" ht="15" thickBot="1" x14ac:dyDescent="0.35">
      <c r="D14" s="28"/>
      <c r="E14" s="29"/>
      <c r="F14" s="29"/>
      <c r="G14" s="29"/>
      <c r="H14" s="29"/>
      <c r="I14" s="29"/>
      <c r="J14" s="29"/>
      <c r="K14" s="29"/>
      <c r="L14" s="29"/>
      <c r="M14" s="30"/>
    </row>
    <row r="15" spans="2:13" ht="15" thickBot="1" x14ac:dyDescent="0.35">
      <c r="D15" s="28"/>
      <c r="E15" s="29"/>
      <c r="F15" s="29"/>
      <c r="G15" s="29"/>
      <c r="H15" s="29"/>
      <c r="I15" s="29"/>
      <c r="J15" s="29"/>
      <c r="K15" s="29"/>
      <c r="L15" s="29"/>
      <c r="M15" s="30"/>
    </row>
    <row r="16" spans="2:13" x14ac:dyDescent="0.3">
      <c r="D16" s="31"/>
      <c r="E16" s="32"/>
      <c r="F16" s="32"/>
      <c r="G16" s="32"/>
      <c r="H16" s="32"/>
      <c r="I16" s="32"/>
      <c r="J16" s="32"/>
      <c r="K16" s="32"/>
      <c r="L16" s="32"/>
      <c r="M16" s="33"/>
    </row>
    <row r="17" spans="3:14" x14ac:dyDescent="0.3">
      <c r="C17" t="s">
        <v>47</v>
      </c>
    </row>
    <row r="18" spans="3:14" ht="7.5" customHeight="1" thickBot="1" x14ac:dyDescent="0.35">
      <c r="E18" s="16">
        <f>E19+10</f>
        <v>91</v>
      </c>
      <c r="F18" s="17">
        <f t="shared" ref="F18:F27" si="0">F19+10</f>
        <v>92</v>
      </c>
      <c r="G18" s="17">
        <f t="shared" ref="G18:G27" si="1">G19+10</f>
        <v>93</v>
      </c>
      <c r="H18" s="17">
        <f t="shared" ref="H18:H27" si="2">H19+10</f>
        <v>94</v>
      </c>
      <c r="I18" s="17">
        <f t="shared" ref="I18:I27" si="3">I19+10</f>
        <v>95</v>
      </c>
      <c r="J18" s="17">
        <f t="shared" ref="J18:J27" si="4">J19+10</f>
        <v>96</v>
      </c>
      <c r="K18" s="17">
        <f t="shared" ref="K18:K27" si="5">K19+10</f>
        <v>97</v>
      </c>
      <c r="L18" s="17">
        <f t="shared" ref="L18:L27" si="6">L19+10</f>
        <v>98</v>
      </c>
      <c r="M18" s="17">
        <f t="shared" ref="M18:M27" si="7">M19+10</f>
        <v>99</v>
      </c>
      <c r="N18" s="18">
        <f t="shared" ref="N18:N27" si="8">10+N19</f>
        <v>100</v>
      </c>
    </row>
    <row r="19" spans="3:14" ht="7.5" customHeight="1" thickBot="1" x14ac:dyDescent="0.35">
      <c r="E19" s="19">
        <f t="shared" ref="E19:E27" si="9">E20+10</f>
        <v>81</v>
      </c>
      <c r="F19" s="20">
        <f t="shared" si="0"/>
        <v>82</v>
      </c>
      <c r="G19" s="20">
        <f t="shared" si="1"/>
        <v>83</v>
      </c>
      <c r="H19" s="20">
        <f t="shared" si="2"/>
        <v>84</v>
      </c>
      <c r="I19" s="20">
        <f t="shared" si="3"/>
        <v>85</v>
      </c>
      <c r="J19" s="20">
        <f t="shared" si="4"/>
        <v>86</v>
      </c>
      <c r="K19" s="20">
        <f t="shared" si="5"/>
        <v>87</v>
      </c>
      <c r="L19" s="20">
        <f t="shared" si="6"/>
        <v>88</v>
      </c>
      <c r="M19" s="20">
        <f t="shared" si="7"/>
        <v>89</v>
      </c>
      <c r="N19" s="21">
        <f t="shared" si="8"/>
        <v>90</v>
      </c>
    </row>
    <row r="20" spans="3:14" ht="7.5" customHeight="1" thickBot="1" x14ac:dyDescent="0.35">
      <c r="E20" s="19">
        <f t="shared" si="9"/>
        <v>71</v>
      </c>
      <c r="F20" s="20">
        <f t="shared" si="0"/>
        <v>72</v>
      </c>
      <c r="G20" s="20">
        <f t="shared" si="1"/>
        <v>73</v>
      </c>
      <c r="H20" s="20">
        <f t="shared" si="2"/>
        <v>74</v>
      </c>
      <c r="I20" s="20">
        <f t="shared" si="3"/>
        <v>75</v>
      </c>
      <c r="J20" s="20">
        <f t="shared" si="4"/>
        <v>76</v>
      </c>
      <c r="K20" s="20">
        <f t="shared" si="5"/>
        <v>77</v>
      </c>
      <c r="L20" s="20">
        <f t="shared" si="6"/>
        <v>78</v>
      </c>
      <c r="M20" s="20">
        <f t="shared" si="7"/>
        <v>79</v>
      </c>
      <c r="N20" s="21">
        <f t="shared" si="8"/>
        <v>80</v>
      </c>
    </row>
    <row r="21" spans="3:14" ht="7.5" customHeight="1" thickBot="1" x14ac:dyDescent="0.35">
      <c r="E21" s="19">
        <f t="shared" si="9"/>
        <v>61</v>
      </c>
      <c r="F21" s="20">
        <f t="shared" si="0"/>
        <v>62</v>
      </c>
      <c r="G21" s="20">
        <f t="shared" si="1"/>
        <v>63</v>
      </c>
      <c r="H21" s="20">
        <f t="shared" si="2"/>
        <v>64</v>
      </c>
      <c r="I21" s="20">
        <f t="shared" si="3"/>
        <v>65</v>
      </c>
      <c r="J21" s="20">
        <f t="shared" si="4"/>
        <v>66</v>
      </c>
      <c r="K21" s="20">
        <f t="shared" si="5"/>
        <v>67</v>
      </c>
      <c r="L21" s="20">
        <f t="shared" si="6"/>
        <v>68</v>
      </c>
      <c r="M21" s="20">
        <f t="shared" si="7"/>
        <v>69</v>
      </c>
      <c r="N21" s="21">
        <f t="shared" si="8"/>
        <v>70</v>
      </c>
    </row>
    <row r="22" spans="3:14" ht="7.5" customHeight="1" thickBot="1" x14ac:dyDescent="0.35">
      <c r="E22" s="19">
        <f t="shared" si="9"/>
        <v>51</v>
      </c>
      <c r="F22" s="20">
        <f t="shared" si="0"/>
        <v>52</v>
      </c>
      <c r="G22" s="20">
        <f t="shared" si="1"/>
        <v>53</v>
      </c>
      <c r="H22" s="20">
        <f t="shared" si="2"/>
        <v>54</v>
      </c>
      <c r="I22" s="20">
        <f t="shared" si="3"/>
        <v>55</v>
      </c>
      <c r="J22" s="20">
        <f t="shared" si="4"/>
        <v>56</v>
      </c>
      <c r="K22" s="20">
        <f t="shared" si="5"/>
        <v>57</v>
      </c>
      <c r="L22" s="20">
        <f t="shared" si="6"/>
        <v>58</v>
      </c>
      <c r="M22" s="20">
        <f t="shared" si="7"/>
        <v>59</v>
      </c>
      <c r="N22" s="21">
        <f t="shared" si="8"/>
        <v>60</v>
      </c>
    </row>
    <row r="23" spans="3:14" ht="7.5" customHeight="1" thickBot="1" x14ac:dyDescent="0.35">
      <c r="E23" s="19">
        <f t="shared" si="9"/>
        <v>41</v>
      </c>
      <c r="F23" s="20">
        <f t="shared" si="0"/>
        <v>42</v>
      </c>
      <c r="G23" s="20">
        <f t="shared" si="1"/>
        <v>43</v>
      </c>
      <c r="H23" s="20">
        <f t="shared" si="2"/>
        <v>44</v>
      </c>
      <c r="I23" s="20">
        <f t="shared" si="3"/>
        <v>45</v>
      </c>
      <c r="J23" s="20">
        <f t="shared" si="4"/>
        <v>46</v>
      </c>
      <c r="K23" s="20">
        <f t="shared" si="5"/>
        <v>47</v>
      </c>
      <c r="L23" s="20">
        <f t="shared" si="6"/>
        <v>48</v>
      </c>
      <c r="M23" s="20">
        <f t="shared" si="7"/>
        <v>49</v>
      </c>
      <c r="N23" s="21">
        <f t="shared" si="8"/>
        <v>50</v>
      </c>
    </row>
    <row r="24" spans="3:14" ht="7.5" customHeight="1" thickBot="1" x14ac:dyDescent="0.35">
      <c r="E24" s="19">
        <f t="shared" si="9"/>
        <v>31</v>
      </c>
      <c r="F24" s="20">
        <f t="shared" si="0"/>
        <v>32</v>
      </c>
      <c r="G24" s="20">
        <f t="shared" si="1"/>
        <v>33</v>
      </c>
      <c r="H24" s="20">
        <f t="shared" si="2"/>
        <v>34</v>
      </c>
      <c r="I24" s="20">
        <f t="shared" si="3"/>
        <v>35</v>
      </c>
      <c r="J24" s="20">
        <f t="shared" si="4"/>
        <v>36</v>
      </c>
      <c r="K24" s="20">
        <f t="shared" si="5"/>
        <v>37</v>
      </c>
      <c r="L24" s="20">
        <f t="shared" si="6"/>
        <v>38</v>
      </c>
      <c r="M24" s="20">
        <f t="shared" si="7"/>
        <v>39</v>
      </c>
      <c r="N24" s="21">
        <f t="shared" si="8"/>
        <v>40</v>
      </c>
    </row>
    <row r="25" spans="3:14" ht="7.5" customHeight="1" thickBot="1" x14ac:dyDescent="0.35">
      <c r="E25" s="19">
        <f t="shared" si="9"/>
        <v>21</v>
      </c>
      <c r="F25" s="20">
        <f t="shared" si="0"/>
        <v>22</v>
      </c>
      <c r="G25" s="20">
        <f t="shared" si="1"/>
        <v>23</v>
      </c>
      <c r="H25" s="20">
        <f t="shared" si="2"/>
        <v>24</v>
      </c>
      <c r="I25" s="20">
        <f t="shared" si="3"/>
        <v>25</v>
      </c>
      <c r="J25" s="20">
        <f t="shared" si="4"/>
        <v>26</v>
      </c>
      <c r="K25" s="20">
        <f t="shared" si="5"/>
        <v>27</v>
      </c>
      <c r="L25" s="20">
        <f t="shared" si="6"/>
        <v>28</v>
      </c>
      <c r="M25" s="20">
        <f t="shared" si="7"/>
        <v>29</v>
      </c>
      <c r="N25" s="21">
        <f t="shared" si="8"/>
        <v>30</v>
      </c>
    </row>
    <row r="26" spans="3:14" ht="7.5" customHeight="1" thickBot="1" x14ac:dyDescent="0.35">
      <c r="E26" s="19">
        <f>E27+10</f>
        <v>11</v>
      </c>
      <c r="F26" s="20">
        <f t="shared" si="0"/>
        <v>12</v>
      </c>
      <c r="G26" s="20">
        <f t="shared" si="1"/>
        <v>13</v>
      </c>
      <c r="H26" s="20">
        <f t="shared" si="2"/>
        <v>14</v>
      </c>
      <c r="I26" s="20">
        <f t="shared" si="3"/>
        <v>15</v>
      </c>
      <c r="J26" s="20">
        <f t="shared" si="4"/>
        <v>16</v>
      </c>
      <c r="K26" s="20">
        <f>K27+10</f>
        <v>17</v>
      </c>
      <c r="L26" s="20">
        <f t="shared" si="6"/>
        <v>18</v>
      </c>
      <c r="M26" s="20">
        <f t="shared" si="7"/>
        <v>19</v>
      </c>
      <c r="N26" s="21">
        <f>10+N27</f>
        <v>20</v>
      </c>
    </row>
    <row r="27" spans="3:14" ht="7.5" customHeight="1" x14ac:dyDescent="0.3">
      <c r="E27" s="22">
        <v>1</v>
      </c>
      <c r="F27" s="23">
        <f>E27+1</f>
        <v>2</v>
      </c>
      <c r="G27" s="23">
        <f>F27+1</f>
        <v>3</v>
      </c>
      <c r="H27" s="23">
        <f>G27+1</f>
        <v>4</v>
      </c>
      <c r="I27" s="23">
        <f>H27+1</f>
        <v>5</v>
      </c>
      <c r="J27" s="23">
        <f>I27+1</f>
        <v>6</v>
      </c>
      <c r="K27" s="23">
        <f>J27+1</f>
        <v>7</v>
      </c>
      <c r="L27" s="23">
        <f>K27+1</f>
        <v>8</v>
      </c>
      <c r="M27" s="23">
        <f>L27+1</f>
        <v>9</v>
      </c>
      <c r="N27" s="24">
        <f>M27+1</f>
        <v>10</v>
      </c>
    </row>
    <row r="28" spans="3:14" x14ac:dyDescent="0.3">
      <c r="C28" t="s">
        <v>44</v>
      </c>
    </row>
    <row r="29" spans="3:14" ht="5.55" customHeight="1" thickBot="1" x14ac:dyDescent="0.35">
      <c r="E29" s="16">
        <f>E30+10</f>
        <v>91</v>
      </c>
      <c r="F29" s="17">
        <f t="shared" ref="F29:F38" si="10">F30+10</f>
        <v>92</v>
      </c>
      <c r="G29" s="17">
        <f t="shared" ref="G29:G38" si="11">G30+10</f>
        <v>93</v>
      </c>
      <c r="H29" s="17">
        <f t="shared" ref="H29:H38" si="12">H30+10</f>
        <v>94</v>
      </c>
      <c r="I29" s="17">
        <f t="shared" ref="I29:I38" si="13">I30+10</f>
        <v>95</v>
      </c>
      <c r="J29" s="17">
        <f t="shared" ref="J29:J38" si="14">J30+10</f>
        <v>96</v>
      </c>
      <c r="K29" s="17">
        <f t="shared" ref="K29:K38" si="15">K30+10</f>
        <v>97</v>
      </c>
      <c r="L29" s="17">
        <f t="shared" ref="L29:L38" si="16">L30+10</f>
        <v>98</v>
      </c>
      <c r="M29" s="17">
        <f t="shared" ref="M29:M38" si="17">M30+10</f>
        <v>99</v>
      </c>
      <c r="N29" s="18">
        <f t="shared" ref="N29:N38" si="18">10+N30</f>
        <v>100</v>
      </c>
    </row>
    <row r="30" spans="3:14" ht="5.55" customHeight="1" thickBot="1" x14ac:dyDescent="0.35">
      <c r="E30" s="19">
        <f t="shared" ref="E30:E38" si="19">E31+10</f>
        <v>81</v>
      </c>
      <c r="F30" s="20">
        <f t="shared" si="10"/>
        <v>82</v>
      </c>
      <c r="G30" s="20">
        <f t="shared" si="11"/>
        <v>83</v>
      </c>
      <c r="H30" s="20">
        <f t="shared" si="12"/>
        <v>84</v>
      </c>
      <c r="I30" s="20">
        <f t="shared" si="13"/>
        <v>85</v>
      </c>
      <c r="J30" s="20">
        <f t="shared" si="14"/>
        <v>86</v>
      </c>
      <c r="K30" s="20">
        <f t="shared" si="15"/>
        <v>87</v>
      </c>
      <c r="L30" s="20">
        <f t="shared" si="16"/>
        <v>88</v>
      </c>
      <c r="M30" s="20">
        <f t="shared" si="17"/>
        <v>89</v>
      </c>
      <c r="N30" s="21">
        <f t="shared" si="18"/>
        <v>90</v>
      </c>
    </row>
    <row r="31" spans="3:14" ht="5.55" customHeight="1" thickBot="1" x14ac:dyDescent="0.35">
      <c r="E31" s="19">
        <f t="shared" si="19"/>
        <v>71</v>
      </c>
      <c r="F31" s="20">
        <f t="shared" si="10"/>
        <v>72</v>
      </c>
      <c r="G31" s="20">
        <f t="shared" si="11"/>
        <v>73</v>
      </c>
      <c r="H31" s="20">
        <f t="shared" si="12"/>
        <v>74</v>
      </c>
      <c r="I31" s="20">
        <f t="shared" si="13"/>
        <v>75</v>
      </c>
      <c r="J31" s="20">
        <f t="shared" si="14"/>
        <v>76</v>
      </c>
      <c r="K31" s="20">
        <f t="shared" si="15"/>
        <v>77</v>
      </c>
      <c r="L31" s="20">
        <f t="shared" si="16"/>
        <v>78</v>
      </c>
      <c r="M31" s="20">
        <f t="shared" si="17"/>
        <v>79</v>
      </c>
      <c r="N31" s="21">
        <f t="shared" si="18"/>
        <v>80</v>
      </c>
    </row>
    <row r="32" spans="3:14" ht="5.55" customHeight="1" thickBot="1" x14ac:dyDescent="0.35">
      <c r="E32" s="19">
        <f t="shared" si="19"/>
        <v>61</v>
      </c>
      <c r="F32" s="20">
        <f t="shared" si="10"/>
        <v>62</v>
      </c>
      <c r="G32" s="20">
        <f t="shared" si="11"/>
        <v>63</v>
      </c>
      <c r="H32" s="20">
        <f t="shared" si="12"/>
        <v>64</v>
      </c>
      <c r="I32" s="20">
        <f t="shared" si="13"/>
        <v>65</v>
      </c>
      <c r="J32" s="20">
        <f t="shared" si="14"/>
        <v>66</v>
      </c>
      <c r="K32" s="20">
        <f t="shared" si="15"/>
        <v>67</v>
      </c>
      <c r="L32" s="20">
        <f t="shared" si="16"/>
        <v>68</v>
      </c>
      <c r="M32" s="20">
        <f t="shared" si="17"/>
        <v>69</v>
      </c>
      <c r="N32" s="21">
        <f t="shared" si="18"/>
        <v>70</v>
      </c>
    </row>
    <row r="33" spans="5:14" ht="5.55" customHeight="1" thickBot="1" x14ac:dyDescent="0.35">
      <c r="E33" s="19">
        <f t="shared" si="19"/>
        <v>51</v>
      </c>
      <c r="F33" s="20">
        <f t="shared" si="10"/>
        <v>52</v>
      </c>
      <c r="G33" s="20">
        <f t="shared" si="11"/>
        <v>53</v>
      </c>
      <c r="H33" s="20">
        <f t="shared" si="12"/>
        <v>54</v>
      </c>
      <c r="I33" s="20">
        <f t="shared" si="13"/>
        <v>55</v>
      </c>
      <c r="J33" s="20">
        <f t="shared" si="14"/>
        <v>56</v>
      </c>
      <c r="K33" s="20">
        <f t="shared" si="15"/>
        <v>57</v>
      </c>
      <c r="L33" s="20">
        <f t="shared" si="16"/>
        <v>58</v>
      </c>
      <c r="M33" s="20">
        <f t="shared" si="17"/>
        <v>59</v>
      </c>
      <c r="N33" s="21">
        <f t="shared" si="18"/>
        <v>60</v>
      </c>
    </row>
    <row r="34" spans="5:14" ht="5.55" customHeight="1" thickBot="1" x14ac:dyDescent="0.35">
      <c r="E34" s="19">
        <f t="shared" si="19"/>
        <v>41</v>
      </c>
      <c r="F34" s="20">
        <f t="shared" si="10"/>
        <v>42</v>
      </c>
      <c r="G34" s="20">
        <f t="shared" si="11"/>
        <v>43</v>
      </c>
      <c r="H34" s="20">
        <f t="shared" si="12"/>
        <v>44</v>
      </c>
      <c r="I34" s="20">
        <f t="shared" si="13"/>
        <v>45</v>
      </c>
      <c r="J34" s="20">
        <f t="shared" si="14"/>
        <v>46</v>
      </c>
      <c r="K34" s="20">
        <f t="shared" si="15"/>
        <v>47</v>
      </c>
      <c r="L34" s="20">
        <f t="shared" si="16"/>
        <v>48</v>
      </c>
      <c r="M34" s="20">
        <f t="shared" si="17"/>
        <v>49</v>
      </c>
      <c r="N34" s="21">
        <f t="shared" si="18"/>
        <v>50</v>
      </c>
    </row>
    <row r="35" spans="5:14" ht="5.55" customHeight="1" thickBot="1" x14ac:dyDescent="0.35">
      <c r="E35" s="19">
        <f t="shared" si="19"/>
        <v>31</v>
      </c>
      <c r="F35" s="20">
        <f t="shared" si="10"/>
        <v>32</v>
      </c>
      <c r="G35" s="20">
        <f t="shared" si="11"/>
        <v>33</v>
      </c>
      <c r="H35" s="20">
        <f t="shared" si="12"/>
        <v>34</v>
      </c>
      <c r="I35" s="20">
        <f t="shared" si="13"/>
        <v>35</v>
      </c>
      <c r="J35" s="20">
        <f t="shared" si="14"/>
        <v>36</v>
      </c>
      <c r="K35" s="20">
        <f t="shared" si="15"/>
        <v>37</v>
      </c>
      <c r="L35" s="20">
        <f t="shared" si="16"/>
        <v>38</v>
      </c>
      <c r="M35" s="20">
        <f t="shared" si="17"/>
        <v>39</v>
      </c>
      <c r="N35" s="21">
        <f t="shared" si="18"/>
        <v>40</v>
      </c>
    </row>
    <row r="36" spans="5:14" ht="5.55" customHeight="1" thickBot="1" x14ac:dyDescent="0.35">
      <c r="E36" s="19">
        <f t="shared" si="19"/>
        <v>21</v>
      </c>
      <c r="F36" s="20">
        <f t="shared" si="10"/>
        <v>22</v>
      </c>
      <c r="G36" s="20">
        <f t="shared" si="11"/>
        <v>23</v>
      </c>
      <c r="H36" s="20">
        <f t="shared" si="12"/>
        <v>24</v>
      </c>
      <c r="I36" s="20">
        <f t="shared" si="13"/>
        <v>25</v>
      </c>
      <c r="J36" s="20">
        <f t="shared" si="14"/>
        <v>26</v>
      </c>
      <c r="K36" s="20">
        <f t="shared" si="15"/>
        <v>27</v>
      </c>
      <c r="L36" s="20">
        <f t="shared" si="16"/>
        <v>28</v>
      </c>
      <c r="M36" s="20">
        <f t="shared" si="17"/>
        <v>29</v>
      </c>
      <c r="N36" s="21">
        <f t="shared" si="18"/>
        <v>30</v>
      </c>
    </row>
    <row r="37" spans="5:14" ht="5.55" customHeight="1" thickBot="1" x14ac:dyDescent="0.35">
      <c r="E37" s="19">
        <f>E38+10</f>
        <v>11</v>
      </c>
      <c r="F37" s="20">
        <f t="shared" si="10"/>
        <v>12</v>
      </c>
      <c r="G37" s="20">
        <f t="shared" si="11"/>
        <v>13</v>
      </c>
      <c r="H37" s="20">
        <f t="shared" si="12"/>
        <v>14</v>
      </c>
      <c r="I37" s="20">
        <f t="shared" si="13"/>
        <v>15</v>
      </c>
      <c r="J37" s="20">
        <f t="shared" si="14"/>
        <v>16</v>
      </c>
      <c r="K37" s="20">
        <f>K38+10</f>
        <v>17</v>
      </c>
      <c r="L37" s="20">
        <f t="shared" si="16"/>
        <v>18</v>
      </c>
      <c r="M37" s="20">
        <f t="shared" si="17"/>
        <v>19</v>
      </c>
      <c r="N37" s="21">
        <f>10+N38</f>
        <v>20</v>
      </c>
    </row>
    <row r="38" spans="5:14" ht="5.55" customHeight="1" x14ac:dyDescent="0.3">
      <c r="E38" s="22">
        <v>1</v>
      </c>
      <c r="F38" s="23">
        <f>E38+1</f>
        <v>2</v>
      </c>
      <c r="G38" s="23">
        <f>F38+1</f>
        <v>3</v>
      </c>
      <c r="H38" s="23">
        <f>G38+1</f>
        <v>4</v>
      </c>
      <c r="I38" s="23">
        <f>H38+1</f>
        <v>5</v>
      </c>
      <c r="J38" s="23">
        <f>I38+1</f>
        <v>6</v>
      </c>
      <c r="K38" s="23">
        <f>J38+1</f>
        <v>7</v>
      </c>
      <c r="L38" s="23">
        <f>K38+1</f>
        <v>8</v>
      </c>
      <c r="M38" s="23">
        <f>L38+1</f>
        <v>9</v>
      </c>
      <c r="N38" s="24">
        <f>M38+1</f>
        <v>10</v>
      </c>
    </row>
  </sheetData>
  <conditionalFormatting sqref="E18:N27">
    <cfRule type="cellIs" dxfId="16" priority="4" stopIfTrue="1" operator="lessThanOrEqual">
      <formula>$D$4*100</formula>
    </cfRule>
    <cfRule type="cellIs" dxfId="15" priority="5" operator="lessThanOrEqual">
      <formula>$D$4*100</formula>
    </cfRule>
    <cfRule type="cellIs" priority="6" operator="lessThanOrEqual">
      <formula>$D$4*100</formula>
    </cfRule>
  </conditionalFormatting>
  <conditionalFormatting sqref="E29:N38">
    <cfRule type="cellIs" dxfId="14" priority="1" operator="lessThanOrEqual">
      <formula>$D$3*100</formula>
    </cfRule>
    <cfRule type="cellIs" dxfId="13" priority="2" operator="lessThanOrEqual">
      <formula>$D$3*100</formula>
    </cfRule>
    <cfRule type="cellIs" priority="3" operator="lessThanOrEqual">
      <formula>$D$4*100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0BDD9B4F-56DB-4884-A0EE-524728C3E32E}">
  <ds:schemaRefs/>
</ds:datastoreItem>
</file>

<file path=customXml/itemProps2.xml><?xml version="1.0" encoding="utf-8"?>
<ds:datastoreItem xmlns:ds="http://schemas.openxmlformats.org/officeDocument/2006/customXml" ds:itemID="{B851A529-6FE5-45C9-9647-8087EF1C986D}">
  <ds:schemaRefs/>
</ds:datastoreItem>
</file>

<file path=customXml/itemProps3.xml><?xml version="1.0" encoding="utf-8"?>
<ds:datastoreItem xmlns:ds="http://schemas.openxmlformats.org/officeDocument/2006/customXml" ds:itemID="{B9AAD8BA-0C8D-4D1E-B5EB-803C032FF7F1}">
  <ds:schemaRefs/>
</ds:datastoreItem>
</file>

<file path=customXml/itemProps4.xml><?xml version="1.0" encoding="utf-8"?>
<ds:datastoreItem xmlns:ds="http://schemas.openxmlformats.org/officeDocument/2006/customXml" ds:itemID="{16E50FF7-F8BC-4FAC-878B-8C34741E4132}">
  <ds:schemaRefs/>
</ds:datastoreItem>
</file>

<file path=customXml/itemProps5.xml><?xml version="1.0" encoding="utf-8"?>
<ds:datastoreItem xmlns:ds="http://schemas.openxmlformats.org/officeDocument/2006/customXml" ds:itemID="{8379898D-C518-4B4B-A45D-B0B517D26133}">
  <ds:schemaRefs/>
</ds:datastoreItem>
</file>

<file path=customXml/itemProps6.xml><?xml version="1.0" encoding="utf-8"?>
<ds:datastoreItem xmlns:ds="http://schemas.openxmlformats.org/officeDocument/2006/customXml" ds:itemID="{3DCD9BD4-0AA0-4ED3-B642-4145D3A9A4AD}">
  <ds:schemaRefs/>
</ds:datastoreItem>
</file>

<file path=customXml/itemProps7.xml><?xml version="1.0" encoding="utf-8"?>
<ds:datastoreItem xmlns:ds="http://schemas.openxmlformats.org/officeDocument/2006/customXml" ds:itemID="{8BF8DEDD-4FD0-44E8-B1E6-294EEC0D15BA}">
  <ds:schemaRefs/>
</ds:datastoreItem>
</file>

<file path=customXml/itemProps8.xml><?xml version="1.0" encoding="utf-8"?>
<ds:datastoreItem xmlns:ds="http://schemas.openxmlformats.org/officeDocument/2006/customXml" ds:itemID="{3FF895E9-3F57-4AF8-ABCF-47CFAED66F06}">
  <ds:schemaRefs/>
</ds:datastoreItem>
</file>

<file path=customXml/itemProps9.xml><?xml version="1.0" encoding="utf-8"?>
<ds:datastoreItem xmlns:ds="http://schemas.openxmlformats.org/officeDocument/2006/customXml" ds:itemID="{544931ED-6BB9-402F-906D-ADDEC6609CD3}">
  <ds:schemaRefs/>
</ds:datastoreItem>
</file>

<file path=customXml/itemProps10.xml><?xml version="1.0" encoding="utf-8"?>
<ds:datastoreItem xmlns:ds="http://schemas.openxmlformats.org/officeDocument/2006/customXml" ds:itemID="{2F22EBC1-C7FC-4413-ACB7-A31E9C83F886}">
  <ds:schemaRefs/>
</ds:datastoreItem>
</file>

<file path=customXml/itemProps11.xml><?xml version="1.0" encoding="utf-8"?>
<ds:datastoreItem xmlns:ds="http://schemas.openxmlformats.org/officeDocument/2006/customXml" ds:itemID="{41C7544A-EF86-4D33-8D72-5CE0CE1FB577}">
  <ds:schemaRefs/>
</ds:datastoreItem>
</file>

<file path=customXml/itemProps12.xml><?xml version="1.0" encoding="utf-8"?>
<ds:datastoreItem xmlns:ds="http://schemas.openxmlformats.org/officeDocument/2006/customXml" ds:itemID="{34284C57-D77A-478F-82D4-5996E6560223}">
  <ds:schemaRefs/>
</ds:datastoreItem>
</file>

<file path=customXml/itemProps13.xml><?xml version="1.0" encoding="utf-8"?>
<ds:datastoreItem xmlns:ds="http://schemas.openxmlformats.org/officeDocument/2006/customXml" ds:itemID="{A42D0B34-4C80-4A21-8434-4FBF3411A998}">
  <ds:schemaRefs/>
</ds:datastoreItem>
</file>

<file path=customXml/itemProps14.xml><?xml version="1.0" encoding="utf-8"?>
<ds:datastoreItem xmlns:ds="http://schemas.openxmlformats.org/officeDocument/2006/customXml" ds:itemID="{9A62959B-7F40-4163-9D61-89BF1B371CF2}">
  <ds:schemaRefs/>
</ds:datastoreItem>
</file>

<file path=customXml/itemProps15.xml><?xml version="1.0" encoding="utf-8"?>
<ds:datastoreItem xmlns:ds="http://schemas.openxmlformats.org/officeDocument/2006/customXml" ds:itemID="{D1CEFD08-0CE9-41A6-86B6-0D2687C306D8}">
  <ds:schemaRefs/>
</ds:datastoreItem>
</file>

<file path=customXml/itemProps16.xml><?xml version="1.0" encoding="utf-8"?>
<ds:datastoreItem xmlns:ds="http://schemas.openxmlformats.org/officeDocument/2006/customXml" ds:itemID="{DC8E7B6F-E57A-4779-8E29-75E1AF7C86B1}">
  <ds:schemaRefs/>
</ds:datastoreItem>
</file>

<file path=customXml/itemProps17.xml><?xml version="1.0" encoding="utf-8"?>
<ds:datastoreItem xmlns:ds="http://schemas.openxmlformats.org/officeDocument/2006/customXml" ds:itemID="{2DA2215C-84DE-497A-9A63-EB360339D40F}">
  <ds:schemaRefs>
    <ds:schemaRef ds:uri="http://schemas.microsoft.com/DataMashup"/>
  </ds:schemaRefs>
</ds:datastoreItem>
</file>

<file path=customXml/itemProps18.xml><?xml version="1.0" encoding="utf-8"?>
<ds:datastoreItem xmlns:ds="http://schemas.openxmlformats.org/officeDocument/2006/customXml" ds:itemID="{5387E27C-9EBE-4164-8B76-2BFAA73C0FDC}">
  <ds:schemaRefs/>
</ds:datastoreItem>
</file>

<file path=customXml/itemProps19.xml><?xml version="1.0" encoding="utf-8"?>
<ds:datastoreItem xmlns:ds="http://schemas.openxmlformats.org/officeDocument/2006/customXml" ds:itemID="{A6A57325-69D1-4B4B-8031-8B1331E04852}">
  <ds:schemaRefs/>
</ds:datastoreItem>
</file>

<file path=customXml/itemProps20.xml><?xml version="1.0" encoding="utf-8"?>
<ds:datastoreItem xmlns:ds="http://schemas.openxmlformats.org/officeDocument/2006/customXml" ds:itemID="{695C920E-178F-4BD5-9701-4FBAD18447E7}">
  <ds:schemaRefs/>
</ds:datastoreItem>
</file>

<file path=customXml/itemProps21.xml><?xml version="1.0" encoding="utf-8"?>
<ds:datastoreItem xmlns:ds="http://schemas.openxmlformats.org/officeDocument/2006/customXml" ds:itemID="{FB7A5F48-8001-4917-B53F-E27CC02940DB}">
  <ds:schemaRefs/>
</ds:datastoreItem>
</file>

<file path=customXml/itemProps22.xml><?xml version="1.0" encoding="utf-8"?>
<ds:datastoreItem xmlns:ds="http://schemas.openxmlformats.org/officeDocument/2006/customXml" ds:itemID="{129B9E1C-303C-449F-B09A-073E5536054E}">
  <ds:schemaRefs/>
</ds:datastoreItem>
</file>

<file path=customXml/itemProps23.xml><?xml version="1.0" encoding="utf-8"?>
<ds:datastoreItem xmlns:ds="http://schemas.openxmlformats.org/officeDocument/2006/customXml" ds:itemID="{14AB5E53-E1BC-4E98-A989-5CD1E705E07E}">
  <ds:schemaRefs/>
</ds:datastoreItem>
</file>

<file path=customXml/itemProps24.xml><?xml version="1.0" encoding="utf-8"?>
<ds:datastoreItem xmlns:ds="http://schemas.openxmlformats.org/officeDocument/2006/customXml" ds:itemID="{8CBEFD13-D646-4763-8833-FBD81CE670A1}">
  <ds:schemaRefs/>
</ds:datastoreItem>
</file>

<file path=customXml/itemProps25.xml><?xml version="1.0" encoding="utf-8"?>
<ds:datastoreItem xmlns:ds="http://schemas.openxmlformats.org/officeDocument/2006/customXml" ds:itemID="{FAA3DB20-3F24-4A34-A26F-F01BCA3F4D8F}">
  <ds:schemaRefs/>
</ds:datastoreItem>
</file>

<file path=customXml/itemProps26.xml><?xml version="1.0" encoding="utf-8"?>
<ds:datastoreItem xmlns:ds="http://schemas.openxmlformats.org/officeDocument/2006/customXml" ds:itemID="{7E361BE6-EE0C-4C63-904D-9FC6D8B366A3}">
  <ds:schemaRefs/>
</ds:datastoreItem>
</file>

<file path=customXml/itemProps27.xml><?xml version="1.0" encoding="utf-8"?>
<ds:datastoreItem xmlns:ds="http://schemas.openxmlformats.org/officeDocument/2006/customXml" ds:itemID="{3845495F-F904-432F-9517-62DE66F133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Kix Business Dashboard</vt:lpstr>
      <vt:lpstr>Sales analysis Dashboard</vt:lpstr>
      <vt:lpstr> Analysis 2 </vt:lpstr>
      <vt:lpstr>analysis 1</vt:lpstr>
      <vt:lpstr>Sheet3</vt:lpstr>
      <vt:lpstr>waffle chart</vt:lpstr>
      <vt:lpstr>Data</vt:lpstr>
      <vt:lpstr>Large_1</vt:lpstr>
      <vt:lpstr>Large_2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Chaudhary</dc:creator>
  <cp:lastModifiedBy>Jatin Chaudhary</cp:lastModifiedBy>
  <dcterms:created xsi:type="dcterms:W3CDTF">2026-09-11T18:35:10Z</dcterms:created>
  <dcterms:modified xsi:type="dcterms:W3CDTF">2026-09-12T17:21:59Z</dcterms:modified>
</cp:coreProperties>
</file>